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mree\OneDrive\Desktop\ExcelProject\"/>
    </mc:Choice>
  </mc:AlternateContent>
  <xr:revisionPtr revIDLastSave="0" documentId="13_ncr:1_{86067111-4D33-4AAA-9FEB-751F6CFFDD69}" xr6:coauthVersionLast="47" xr6:coauthVersionMax="47" xr10:uidLastSave="{00000000-0000-0000-0000-000000000000}"/>
  <bookViews>
    <workbookView xWindow="-120" yWindow="-120" windowWidth="20730" windowHeight="11160" activeTab="4" xr2:uid="{3FD0D7E3-EB83-4991-B2DD-CCFF799B5297}"/>
  </bookViews>
  <sheets>
    <sheet name="Base" sheetId="1" r:id="rId1"/>
    <sheet name="Analysisdata" sheetId="6" r:id="rId2"/>
    <sheet name="PivotTableAnalyst" sheetId="9" r:id="rId3"/>
    <sheet name="Dasboard" sheetId="5" r:id="rId4"/>
    <sheet name="images" sheetId="4" r:id="rId5"/>
  </sheets>
  <definedNames>
    <definedName name="_xlcn.WorksheetConnection_projemmm.xlsxTablo11" hidden="1">CUSTOMER[]</definedName>
    <definedName name="_xlcn.WorksheetConnection_projemmm.xlsxTablo21" hidden="1">PRODUCT[]</definedName>
    <definedName name="_xlcn.WorksheetConnection_projemmm.xlsxTablo31" hidden="1">CITIYE[]</definedName>
    <definedName name="_xlcn.WorksheetConnection_projemmm.xlsxTablo41" hidden="1">CATEGORYE[]</definedName>
    <definedName name="_xlcn.WorksheetConnection_projemmm.xlsxTablo51" hidden="1">ORDER[]</definedName>
    <definedName name="_xlcn.WorksheetConnection_projemmm.xlsxTablo61" hidden="1">ORDERDETAIL[]</definedName>
    <definedName name="CATEGORYES">CATEGORYE[#All]</definedName>
    <definedName name="CITIYES">CITIYE[#All]</definedName>
    <definedName name="CUSTOMERS">CUSTOMER[#All]</definedName>
    <definedName name="ORDERDETAILS">ORDERDETAIL[#All]</definedName>
    <definedName name="ORDERS">ORDER[#All]</definedName>
    <definedName name="PRODUCTS">PRODUCT[#All]</definedName>
    <definedName name="TBLSALES">#REF!</definedName>
  </definedNames>
  <calcPr calcId="191029"/>
  <pivotCaches>
    <pivotCache cacheId="12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o6" name="Tablo6" connection="WorksheetConnection_projemmm.xlsx!Tablo6"/>
          <x15:modelTable id="Tablo5" name="Tablo5" connection="WorksheetConnection_projemmm.xlsx!Tablo5"/>
          <x15:modelTable id="Tablo4" name="Tablo4" connection="WorksheetConnection_projemmm.xlsx!Tablo4"/>
          <x15:modelTable id="Tablo3" name="Tablo3" connection="WorksheetConnection_projemmm.xlsx!Tablo3"/>
          <x15:modelTable id="Tablo2" name="Tablo2" connection="WorksheetConnection_projemmm.xlsx!Tablo2"/>
          <x15:modelTable id="Tablo1" name="Tablo1" connection="WorksheetConnection_projemmm.xlsx!Tablo1"/>
        </x15:modelTables>
        <x15:modelRelationships>
          <x15:modelRelationship fromTable="Tablo1" fromColumn="CITYID" toTable="Tablo3" toColumn="CITYID"/>
          <x15:modelRelationship fromTable="Tablo5" fromColumn="CUSTOMERID" toTable="Tablo1" toColumn="CUSTOMERID"/>
          <x15:modelRelationship fromTable="Tablo2" fromColumn="CATEGORYID" toTable="Tablo4" toColumn="CATEGORYID"/>
          <x15:modelRelationship fromTable="Tablo6" fromColumn="PRODUCTID" toTable="Tablo2" toColumn="PRODUCTID"/>
          <x15:modelRelationship fromTable="Tablo6" fromColumn="ORDERID" toTable="Tablo5" toColumn="ORD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9" l="1"/>
  <c r="F20" i="9"/>
  <c r="F21" i="9"/>
  <c r="F18" i="9"/>
  <c r="J13" i="9" a="1"/>
  <c r="J13" i="9" s="1"/>
  <c r="F5" i="9" a="1"/>
  <c r="F5" i="9" s="1"/>
  <c r="E7" i="9" s="1" a="1"/>
  <c r="E7" i="9" s="1"/>
  <c r="J8" i="6"/>
  <c r="J7" i="6"/>
  <c r="J6" i="6"/>
  <c r="J5" i="6"/>
  <c r="J4" i="6"/>
  <c r="J3" i="6"/>
  <c r="J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C3BD56-2AD7-43FB-B85F-A3CC4DFF4879}" keepAlive="1" name="ThisWorkbookDataModel" description="Veri Modeli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F6DBBF7-E47C-422A-B9BC-FCF3A0EDD2AB}" name="WorksheetConnection_projemmm.xlsx!Tablo1" type="102" refreshedVersion="8" minRefreshableVersion="5">
    <extLst>
      <ext xmlns:x15="http://schemas.microsoft.com/office/spreadsheetml/2010/11/main" uri="{DE250136-89BD-433C-8126-D09CA5730AF9}">
        <x15:connection id="Tablo1">
          <x15:rangePr sourceName="_xlcn.WorksheetConnection_projemmm.xlsxTablo11"/>
        </x15:connection>
      </ext>
    </extLst>
  </connection>
  <connection id="3" xr16:uid="{22AEA17E-B816-4E64-A96F-74010EA25D56}" name="WorksheetConnection_projemmm.xlsx!Tablo2" type="102" refreshedVersion="8" minRefreshableVersion="5">
    <extLst>
      <ext xmlns:x15="http://schemas.microsoft.com/office/spreadsheetml/2010/11/main" uri="{DE250136-89BD-433C-8126-D09CA5730AF9}">
        <x15:connection id="Tablo2">
          <x15:rangePr sourceName="_xlcn.WorksheetConnection_projemmm.xlsxTablo21"/>
        </x15:connection>
      </ext>
    </extLst>
  </connection>
  <connection id="4" xr16:uid="{3E76CC91-0E35-443A-94F9-B6CC0DF24B72}" name="WorksheetConnection_projemmm.xlsx!Tablo3" type="102" refreshedVersion="8" minRefreshableVersion="5">
    <extLst>
      <ext xmlns:x15="http://schemas.microsoft.com/office/spreadsheetml/2010/11/main" uri="{DE250136-89BD-433C-8126-D09CA5730AF9}">
        <x15:connection id="Tablo3">
          <x15:rangePr sourceName="_xlcn.WorksheetConnection_projemmm.xlsxTablo31"/>
        </x15:connection>
      </ext>
    </extLst>
  </connection>
  <connection id="5" xr16:uid="{2EDCB92D-C332-4B93-B1AA-2161046AB40E}" name="WorksheetConnection_projemmm.xlsx!Tablo4" type="102" refreshedVersion="8" minRefreshableVersion="5">
    <extLst>
      <ext xmlns:x15="http://schemas.microsoft.com/office/spreadsheetml/2010/11/main" uri="{DE250136-89BD-433C-8126-D09CA5730AF9}">
        <x15:connection id="Tablo4">
          <x15:rangePr sourceName="_xlcn.WorksheetConnection_projemmm.xlsxTablo41"/>
        </x15:connection>
      </ext>
    </extLst>
  </connection>
  <connection id="6" xr16:uid="{B0BD0CA7-D3BC-43E5-96DC-F786117FA532}" name="WorksheetConnection_projemmm.xlsx!Tablo5" type="102" refreshedVersion="8" minRefreshableVersion="5">
    <extLst>
      <ext xmlns:x15="http://schemas.microsoft.com/office/spreadsheetml/2010/11/main" uri="{DE250136-89BD-433C-8126-D09CA5730AF9}">
        <x15:connection id="Tablo5">
          <x15:rangePr sourceName="_xlcn.WorksheetConnection_projemmm.xlsxTablo51"/>
        </x15:connection>
      </ext>
    </extLst>
  </connection>
  <connection id="7" xr16:uid="{1FE09E66-9077-42C9-9A4F-C23056D14FBE}" name="WorksheetConnection_projemmm.xlsx!Tablo6" type="102" refreshedVersion="8" minRefreshableVersion="5">
    <extLst>
      <ext xmlns:x15="http://schemas.microsoft.com/office/spreadsheetml/2010/11/main" uri="{DE250136-89BD-433C-8126-D09CA5730AF9}">
        <x15:connection id="Tablo6">
          <x15:rangePr sourceName="_xlcn.WorksheetConnection_projemmm.xlsxTablo6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<sst xmlns="http://schemas.openxmlformats.org/spreadsheetml/2006/main" count="151" uniqueCount="63">
  <si>
    <t>CUSTOMERS</t>
  </si>
  <si>
    <t>CUSTOMERID</t>
  </si>
  <si>
    <t>CUSTOMERNAME</t>
  </si>
  <si>
    <t>GENDER</t>
  </si>
  <si>
    <t>AGE</t>
  </si>
  <si>
    <t>PRICE</t>
  </si>
  <si>
    <t>ORDERS</t>
  </si>
  <si>
    <t>ORDERID</t>
  </si>
  <si>
    <t>ORDERDATE</t>
  </si>
  <si>
    <t>PAYMENTMETHOD</t>
  </si>
  <si>
    <t>ORDERDETAILS</t>
  </si>
  <si>
    <t>ORDERDETAILID</t>
  </si>
  <si>
    <t>PRODUCTID</t>
  </si>
  <si>
    <t>QUANTITY</t>
  </si>
  <si>
    <t>UNITPRICE</t>
  </si>
  <si>
    <t>CITIYES</t>
  </si>
  <si>
    <t>CITYID</t>
  </si>
  <si>
    <t>CITYNAME</t>
  </si>
  <si>
    <t>CATEGORYID</t>
  </si>
  <si>
    <t>CATEGORYNAME</t>
  </si>
  <si>
    <t>PRODUCTS</t>
  </si>
  <si>
    <t>PRODUCTNAME</t>
  </si>
  <si>
    <t>ANKARA</t>
  </si>
  <si>
    <t>İSTANBUL</t>
  </si>
  <si>
    <t>İZMİR</t>
  </si>
  <si>
    <t>BURSA</t>
  </si>
  <si>
    <t>ANTALYA</t>
  </si>
  <si>
    <t>HOME</t>
  </si>
  <si>
    <t>BOOKS</t>
  </si>
  <si>
    <t>CLOTHING</t>
  </si>
  <si>
    <t>ELECTRONICTS</t>
  </si>
  <si>
    <t>Emre Erol</t>
  </si>
  <si>
    <t>Ahmet Yılmaz</t>
  </si>
  <si>
    <t>Ayşe Demir</t>
  </si>
  <si>
    <t>Mehmet Kaya</t>
  </si>
  <si>
    <t>Zeynep Çelik</t>
  </si>
  <si>
    <t>Can Arslan</t>
  </si>
  <si>
    <t>Elif Şahin</t>
  </si>
  <si>
    <t>E</t>
  </si>
  <si>
    <t>K</t>
  </si>
  <si>
    <t>LAPTOP</t>
  </si>
  <si>
    <t>PHONE</t>
  </si>
  <si>
    <t>VACUUM</t>
  </si>
  <si>
    <t>T-SHIRT</t>
  </si>
  <si>
    <t>BOOK</t>
  </si>
  <si>
    <t>FOOTBALL BALL</t>
  </si>
  <si>
    <t>HEADPHONES</t>
  </si>
  <si>
    <t>CREDIT CARD</t>
  </si>
  <si>
    <t>CASH</t>
  </si>
  <si>
    <t>DEBIT CARD</t>
  </si>
  <si>
    <t>SPORTS</t>
  </si>
  <si>
    <t>TOTALAMOUNT</t>
  </si>
  <si>
    <t>CATEGORIES</t>
  </si>
  <si>
    <t>Satır Etiketleri</t>
  </si>
  <si>
    <t>Genel Toplam</t>
  </si>
  <si>
    <t>Sales By City</t>
  </si>
  <si>
    <t>T. TOTALAMOUNT</t>
  </si>
  <si>
    <t>Toplam TOTALAMOUNT</t>
  </si>
  <si>
    <t>TOTAL REVENUE</t>
  </si>
  <si>
    <t>Say ORDERID</t>
  </si>
  <si>
    <t>TOTALCUSTOMERS</t>
  </si>
  <si>
    <t>ORDER</t>
  </si>
  <si>
    <t>Genel Toplamın %’si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</si>
</sst>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[$₺-41F]* #,##0_-;\-[$₺-41F]* #,##0_-;_-[$₺-41F]* &quot;-&quot;??_-;_-@_-"/>
    <numFmt numFmtId="166" formatCode="&quot;₺&quot;#,##0"/>
    <numFmt numFmtId="167" formatCode="&quot;₺&quot;#,##0.00"/>
  </numFmts>
  <fonts count="1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charset val="162"/>
      <scheme val="minor"/>
    </font>
    <font>
      <sz val="10"/>
      <color theme="1"/>
      <name val="Arial Unicode MS"/>
    </font>
    <font>
      <sz val="11"/>
      <name val="Aptos Narrow"/>
      <family val="2"/>
      <charset val="16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charset val="162"/>
      <scheme val="minor"/>
    </font>
    <font>
      <sz val="11"/>
      <color theme="1"/>
      <name val="Aptos Narrow"/>
      <charset val="162"/>
      <scheme val="minor"/>
    </font>
    <font>
      <b/>
      <sz val="11"/>
      <color theme="0"/>
      <name val="Aptos Narrow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0" fillId="0" borderId="1" xfId="0" applyNumberFormat="1" applyBorder="1"/>
    <xf numFmtId="0" fontId="6" fillId="3" borderId="1" xfId="0" applyFont="1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Fill="1" applyBorder="1"/>
    <xf numFmtId="0" fontId="0" fillId="0" borderId="0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3" fillId="0" borderId="9" xfId="0" applyFont="1" applyBorder="1"/>
    <xf numFmtId="0" fontId="3" fillId="0" borderId="4" xfId="0" applyFont="1" applyBorder="1"/>
    <xf numFmtId="0" fontId="3" fillId="0" borderId="5" xfId="0" applyFont="1" applyBorder="1"/>
    <xf numFmtId="0" fontId="0" fillId="5" borderId="9" xfId="0" applyFill="1" applyBorder="1"/>
    <xf numFmtId="0" fontId="0" fillId="0" borderId="9" xfId="0" applyBorder="1"/>
    <xf numFmtId="0" fontId="0" fillId="0" borderId="4" xfId="0" applyBorder="1"/>
    <xf numFmtId="164" fontId="0" fillId="0" borderId="4" xfId="1" applyNumberFormat="1" applyFont="1" applyBorder="1"/>
    <xf numFmtId="0" fontId="3" fillId="4" borderId="9" xfId="0" applyFont="1" applyFill="1" applyBorder="1"/>
    <xf numFmtId="0" fontId="6" fillId="3" borderId="9" xfId="0" applyFont="1" applyFill="1" applyBorder="1"/>
    <xf numFmtId="0" fontId="3" fillId="2" borderId="9" xfId="0" applyFont="1" applyFill="1" applyBorder="1"/>
    <xf numFmtId="0" fontId="0" fillId="0" borderId="9" xfId="0" applyFill="1" applyBorder="1"/>
    <xf numFmtId="164" fontId="0" fillId="0" borderId="4" xfId="1" applyNumberFormat="1" applyFont="1" applyFill="1" applyBorder="1"/>
    <xf numFmtId="0" fontId="3" fillId="0" borderId="8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0" xfId="0" applyFont="1" applyBorder="1"/>
    <xf numFmtId="164" fontId="0" fillId="0" borderId="0" xfId="1" applyNumberFormat="1" applyFont="1" applyBorder="1"/>
    <xf numFmtId="14" fontId="0" fillId="0" borderId="3" xfId="0" applyNumberFormat="1" applyBorder="1"/>
    <xf numFmtId="14" fontId="0" fillId="0" borderId="0" xfId="0" applyNumberFormat="1" applyBorder="1"/>
    <xf numFmtId="164" fontId="0" fillId="0" borderId="6" xfId="1" applyNumberFormat="1" applyFont="1" applyBorder="1"/>
    <xf numFmtId="0" fontId="3" fillId="6" borderId="8" xfId="0" applyFont="1" applyFill="1" applyBorder="1"/>
    <xf numFmtId="0" fontId="3" fillId="4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9" fillId="0" borderId="3" xfId="0" applyFont="1" applyBorder="1"/>
    <xf numFmtId="0" fontId="9" fillId="0" borderId="6" xfId="0" applyFont="1" applyBorder="1"/>
    <xf numFmtId="0" fontId="9" fillId="0" borderId="9" xfId="0" applyFont="1" applyBorder="1"/>
    <xf numFmtId="14" fontId="9" fillId="0" borderId="1" xfId="0" applyNumberFormat="1" applyFont="1" applyBorder="1"/>
    <xf numFmtId="0" fontId="9" fillId="0" borderId="1" xfId="0" applyFont="1" applyBorder="1"/>
    <xf numFmtId="165" fontId="9" fillId="0" borderId="1" xfId="1" applyNumberFormat="1" applyFont="1" applyBorder="1"/>
    <xf numFmtId="165" fontId="9" fillId="0" borderId="4" xfId="0" applyNumberFormat="1" applyFont="1" applyBorder="1"/>
    <xf numFmtId="0" fontId="9" fillId="0" borderId="5" xfId="0" applyFont="1" applyBorder="1"/>
    <xf numFmtId="14" fontId="9" fillId="0" borderId="2" xfId="0" applyNumberFormat="1" applyFont="1" applyBorder="1"/>
    <xf numFmtId="0" fontId="9" fillId="0" borderId="2" xfId="0" applyFont="1" applyBorder="1"/>
    <xf numFmtId="165" fontId="9" fillId="0" borderId="2" xfId="1" applyNumberFormat="1" applyFont="1" applyBorder="1"/>
    <xf numFmtId="165" fontId="9" fillId="0" borderId="11" xfId="0" applyNumberFormat="1" applyFont="1" applyBorder="1"/>
    <xf numFmtId="0" fontId="9" fillId="0" borderId="5" xfId="0" applyFont="1" applyBorder="1" applyAlignment="1">
      <alignment vertical="center" wrapText="1"/>
    </xf>
    <xf numFmtId="14" fontId="9" fillId="0" borderId="2" xfId="0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65" fontId="9" fillId="0" borderId="11" xfId="1" applyNumberFormat="1" applyFont="1" applyBorder="1" applyAlignment="1">
      <alignment vertical="center" wrapText="1"/>
    </xf>
    <xf numFmtId="0" fontId="0" fillId="0" borderId="0" xfId="0" applyFill="1"/>
    <xf numFmtId="0" fontId="8" fillId="0" borderId="0" xfId="0" applyFont="1" applyFill="1"/>
    <xf numFmtId="0" fontId="0" fillId="0" borderId="0" xfId="0" applyFill="1" applyBorder="1"/>
    <xf numFmtId="0" fontId="7" fillId="7" borderId="0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NumberFormat="1"/>
    <xf numFmtId="167" fontId="0" fillId="0" borderId="0" xfId="0" applyNumberFormat="1"/>
    <xf numFmtId="9" fontId="0" fillId="0" borderId="0" xfId="2" applyFont="1"/>
    <xf numFmtId="0" fontId="0" fillId="10" borderId="0" xfId="0" applyFill="1" applyBorder="1"/>
    <xf numFmtId="0" fontId="0" fillId="10" borderId="0" xfId="0" applyFill="1"/>
    <xf numFmtId="0" fontId="0" fillId="0" borderId="1" xfId="0" applyFont="1" applyBorder="1"/>
    <xf numFmtId="0" fontId="0" fillId="8" borderId="21" xfId="0" applyFont="1" applyFill="1" applyBorder="1"/>
    <xf numFmtId="0" fontId="10" fillId="9" borderId="22" xfId="0" applyFont="1" applyFill="1" applyBorder="1"/>
    <xf numFmtId="9" fontId="0" fillId="0" borderId="0" xfId="0" applyNumberFormat="1"/>
    <xf numFmtId="10" fontId="0" fillId="0" borderId="0" xfId="0" applyNumberFormat="1"/>
  </cellXfs>
  <cellStyles count="3">
    <cellStyle name="Normal" xfId="0" builtinId="0"/>
    <cellStyle name="Virgül" xfId="1" builtinId="3"/>
    <cellStyle name="Yüzde" xfId="2" builtinId="5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5" formatCode="_-[$₺-41F]* #,##0_-;\-[$₺-41F]* #,##0_-;_-[$₺-41F]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5" formatCode="_-[$₺-41F]* #,##0_-;\-[$₺-41F]* #,##0_-;_-[$₺-41F]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9" formatCode="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[projemmm.xlsx]PivotTableAnalyst!PivotTable1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2000" b="1">
                <a:solidFill>
                  <a:schemeClr val="tx1">
                    <a:lumMod val="75000"/>
                    <a:lumOff val="25000"/>
                  </a:schemeClr>
                </a:solidFill>
              </a:rPr>
              <a:t>Sales By City</a:t>
            </a:r>
            <a:endParaRPr lang="en-US" sz="20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32908029361585284"/>
          <c:y val="3.1386897904733535E-2"/>
        </c:manualLayout>
      </c:layout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PivotTableAnalyst!$B$3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PivotTableAnalyst!$A$4:$A$9</c:f>
              <c:strCache>
                <c:ptCount val="5"/>
                <c:pt idx="0">
                  <c:v>ANKARA</c:v>
                </c:pt>
                <c:pt idx="1">
                  <c:v>ANTALYA</c:v>
                </c:pt>
                <c:pt idx="2">
                  <c:v>BURSA</c:v>
                </c:pt>
                <c:pt idx="3">
                  <c:v>İSTANBUL</c:v>
                </c:pt>
                <c:pt idx="4">
                  <c:v>İZMİR</c:v>
                </c:pt>
              </c:strCache>
            </c:strRef>
          </c:cat>
          <c:val>
            <c:numRef>
              <c:f>PivotTableAnalyst!$B$4:$B$9</c:f>
              <c:numCache>
                <c:formatCode>"₺"#,##0</c:formatCode>
                <c:ptCount val="5"/>
                <c:pt idx="0">
                  <c:v>25000</c:v>
                </c:pt>
                <c:pt idx="1">
                  <c:v>1000</c:v>
                </c:pt>
                <c:pt idx="2">
                  <c:v>2600</c:v>
                </c:pt>
                <c:pt idx="3">
                  <c:v>29500</c:v>
                </c:pt>
                <c:pt idx="4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0-45F7-8CFB-390645E34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7011775"/>
        <c:axId val="1297009695"/>
      </c:barChart>
      <c:catAx>
        <c:axId val="12970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97009695"/>
        <c:crosses val="autoZero"/>
        <c:auto val="1"/>
        <c:lblAlgn val="ctr"/>
        <c:lblOffset val="100"/>
        <c:noMultiLvlLbl val="0"/>
      </c:catAx>
      <c:valAx>
        <c:axId val="1297009695"/>
        <c:scaling>
          <c:orientation val="minMax"/>
        </c:scaling>
        <c:delete val="0"/>
        <c:axPos val="l"/>
        <c:numFmt formatCode="&quot;₺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970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[projemmm.xlsx]PivotTableAnalyst!PivotTable3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 sz="2000" b="1">
                <a:solidFill>
                  <a:schemeClr val="tx1">
                    <a:lumMod val="75000"/>
                    <a:lumOff val="25000"/>
                  </a:schemeClr>
                </a:solidFill>
              </a:rPr>
              <a:t>Sales By Category</a:t>
            </a:r>
          </a:p>
        </c:rich>
      </c:tx>
      <c:layout>
        <c:manualLayout>
          <c:xMode val="edge"/>
          <c:yMode val="edge"/>
          <c:x val="0.33014219156608415"/>
          <c:y val="2.3220705994806339E-2"/>
        </c:manualLayout>
      </c:layout>
      <c:overlay val="0"/>
      <c:spPr>
        <a:noFill/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PivotTableAnalyst!$B$13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PivotTableAnalyst!$A$14:$A$19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ELECTRONICTS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PivotTableAnalyst!$B$14:$B$19</c:f>
              <c:numCache>
                <c:formatCode>"₺"#,##0</c:formatCode>
                <c:ptCount val="5"/>
                <c:pt idx="0">
                  <c:v>1000</c:v>
                </c:pt>
                <c:pt idx="1">
                  <c:v>1800</c:v>
                </c:pt>
                <c:pt idx="2">
                  <c:v>54500</c:v>
                </c:pt>
                <c:pt idx="3">
                  <c:v>8500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F2-4B60-9C7F-A697159EC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534399"/>
        <c:axId val="101540223"/>
      </c:barChart>
      <c:catAx>
        <c:axId val="10153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1540223"/>
        <c:crosses val="autoZero"/>
        <c:auto val="1"/>
        <c:lblAlgn val="ctr"/>
        <c:lblOffset val="100"/>
        <c:noMultiLvlLbl val="0"/>
      </c:catAx>
      <c:valAx>
        <c:axId val="101540223"/>
        <c:scaling>
          <c:orientation val="minMax"/>
        </c:scaling>
        <c:delete val="0"/>
        <c:axPos val="l"/>
        <c:numFmt formatCode="&quot;₺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153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[projemmm.xlsx]PivotTableAnalyst!PivotTable10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tr-TR" sz="2000" b="1" i="0" u="none" strike="noStrike" kern="1200" spc="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r-TR" sz="2000" b="1" i="0" u="none" strike="noStrike" kern="1200" spc="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rPr>
              <a:t>Top Products</a:t>
            </a:r>
          </a:p>
        </c:rich>
      </c:tx>
      <c:overlay val="0"/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tr-TR" sz="2000" b="1" i="0" u="none" strike="noStrike" kern="1200" spc="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PivotTableAnalyst!$B$24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PivotTableAnalyst!$A$25:$A$31</c:f>
              <c:strCache>
                <c:ptCount val="6"/>
                <c:pt idx="0">
                  <c:v>LAPTOP</c:v>
                </c:pt>
                <c:pt idx="1">
                  <c:v>VACUUM</c:v>
                </c:pt>
                <c:pt idx="2">
                  <c:v>HEADPHONES</c:v>
                </c:pt>
                <c:pt idx="3">
                  <c:v>T-SHIRT</c:v>
                </c:pt>
                <c:pt idx="4">
                  <c:v>BOOK</c:v>
                </c:pt>
                <c:pt idx="5">
                  <c:v>FOOTBALL BALL</c:v>
                </c:pt>
              </c:strCache>
            </c:strRef>
          </c:cat>
          <c:val>
            <c:numRef>
              <c:f>PivotTableAnalyst!$B$25:$B$31</c:f>
              <c:numCache>
                <c:formatCode>General</c:formatCode>
                <c:ptCount val="6"/>
                <c:pt idx="0">
                  <c:v>50000</c:v>
                </c:pt>
                <c:pt idx="1">
                  <c:v>8500</c:v>
                </c:pt>
                <c:pt idx="2">
                  <c:v>4500</c:v>
                </c:pt>
                <c:pt idx="3">
                  <c:v>1800</c:v>
                </c:pt>
                <c:pt idx="4">
                  <c:v>1000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8-4F16-B725-EEA53C5B6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6553296"/>
        <c:axId val="1956549968"/>
      </c:barChart>
      <c:catAx>
        <c:axId val="195655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56549968"/>
        <c:crosses val="autoZero"/>
        <c:auto val="1"/>
        <c:lblAlgn val="ctr"/>
        <c:lblOffset val="100"/>
        <c:noMultiLvlLbl val="0"/>
      </c:catAx>
      <c:valAx>
        <c:axId val="195654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5655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[projemmm.xlsx]PivotTableAnalyst!PivotTable7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 sz="2000" b="1">
                <a:solidFill>
                  <a:schemeClr val="bg2">
                    <a:lumMod val="25000"/>
                  </a:schemeClr>
                </a:solidFill>
              </a:rPr>
              <a:t>Payment</a:t>
            </a:r>
            <a:r>
              <a:rPr lang="tr-TR" sz="2000" b="1" baseline="0">
                <a:solidFill>
                  <a:schemeClr val="bg2">
                    <a:lumMod val="25000"/>
                  </a:schemeClr>
                </a:solidFill>
              </a:rPr>
              <a:t> Method Distribution</a:t>
            </a:r>
            <a:endParaRPr lang="en-US" sz="2000" b="1">
              <a:solidFill>
                <a:schemeClr val="bg2">
                  <a:lumMod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1349912282188456"/>
          <c:y val="5.0925925925925923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6"/>
          </a:solidFill>
          <a:ln w="19050"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6"/>
          </a:solidFill>
          <a:ln w="19050"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PivotTableAnalyst!$E$17</c:f>
              <c:strCache>
                <c:ptCount val="1"/>
                <c:pt idx="0">
                  <c:v>Toplam</c:v>
                </c:pt>
              </c:strCache>
            </c:strRef>
          </c:tx>
          <c:spPr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2F-41CF-B008-CCD1801A95A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2F-41CF-B008-CCD1801A95A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2F-41CF-B008-CCD1801A95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PivotTableAnalyst!$D$18:$D$21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PivotTableAnalyst!$E$18:$E$21</c:f>
              <c:numCache>
                <c:formatCode>0%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2F-41CF-B008-CCD1801A95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1.png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206893</xdr:colOff>
      <xdr:row>3</xdr:row>
      <xdr:rowOff>138546</xdr:rowOff>
    </xdr:from>
    <xdr:to>
      <xdr:col>7</xdr:col>
      <xdr:colOff>554191</xdr:colOff>
      <xdr:row>10</xdr:row>
      <xdr:rowOff>52296</xdr:rowOff>
    </xdr:to>
    <xdr:sp macro="" textlink="PivotTableAnalyst!F5">
      <xdr:nvSpPr>
        <xdr:cNvPr id="23" name="Dikdörtgen: Köşeleri Yuvarlatılmış 22">
          <a:extLst>
            <a:ext uri="{FF2B5EF4-FFF2-40B4-BE49-F238E27FC236}">
              <a16:creationId xmlns:a16="http://schemas.microsoft.com/office/drawing/2014/main" id="{9C5C46E5-E84B-4591-AA69-E3B31D94C78A}"/>
            </a:ext>
          </a:extLst>
        </xdr:cNvPr>
        <xdr:cNvSpPr/>
      </xdr:nvSpPr>
      <xdr:spPr>
        <a:xfrm>
          <a:off x="2977802" y="658091"/>
          <a:ext cx="2425480" cy="1126023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Fron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A49DDC4-BB41-4030-9C20-72EB20494DE6}" type="TxLink">
            <a:rPr lang="en-US" sz="25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7</a:t>
          </a:fld>
          <a:endParaRPr lang="tr-TR" sz="25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54429</xdr:rowOff>
    </xdr:from>
    <xdr:to>
      <xdr:col>16</xdr:col>
      <xdr:colOff>13607</xdr:colOff>
      <xdr:row>3</xdr:row>
      <xdr:rowOff>40822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77A6E1DF-32DB-8275-18A9-5869C372337B}"/>
            </a:ext>
          </a:extLst>
        </xdr:cNvPr>
        <xdr:cNvSpPr/>
      </xdr:nvSpPr>
      <xdr:spPr>
        <a:xfrm>
          <a:off x="0" y="54429"/>
          <a:ext cx="10899321" cy="517072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Fron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28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t>SALES DASHBOARD</a:t>
          </a:r>
        </a:p>
      </xdr:txBody>
    </xdr:sp>
    <xdr:clientData/>
  </xdr:twoCellAnchor>
  <xdr:twoCellAnchor>
    <xdr:from>
      <xdr:col>0</xdr:col>
      <xdr:colOff>207982</xdr:colOff>
      <xdr:row>3</xdr:row>
      <xdr:rowOff>138546</xdr:rowOff>
    </xdr:from>
    <xdr:to>
      <xdr:col>3</xdr:col>
      <xdr:colOff>555280</xdr:colOff>
      <xdr:row>10</xdr:row>
      <xdr:rowOff>52296</xdr:rowOff>
    </xdr:to>
    <xdr:sp macro="" textlink="PivotTableAnalyst!D4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19108BCE-18F6-106A-8593-859E2A56DD03}"/>
            </a:ext>
          </a:extLst>
        </xdr:cNvPr>
        <xdr:cNvSpPr/>
      </xdr:nvSpPr>
      <xdr:spPr>
        <a:xfrm>
          <a:off x="207982" y="658091"/>
          <a:ext cx="2425480" cy="1126023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Fron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27CB23-5B28-44BB-BB17-D452D05DABCC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 algn="ctr"/>
            <a:t>₺66.600</a:t>
          </a:fld>
          <a:endParaRPr lang="en-US" sz="25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205804</xdr:colOff>
      <xdr:row>3</xdr:row>
      <xdr:rowOff>138546</xdr:rowOff>
    </xdr:from>
    <xdr:to>
      <xdr:col>11</xdr:col>
      <xdr:colOff>553102</xdr:colOff>
      <xdr:row>10</xdr:row>
      <xdr:rowOff>52296</xdr:rowOff>
    </xdr:to>
    <xdr:sp macro="" textlink="PivotTableAnalyst!J13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FF7DD9AA-6819-40EB-85D7-734F15BF8BA0}"/>
            </a:ext>
          </a:extLst>
        </xdr:cNvPr>
        <xdr:cNvSpPr/>
      </xdr:nvSpPr>
      <xdr:spPr>
        <a:xfrm>
          <a:off x="5747622" y="658091"/>
          <a:ext cx="2425480" cy="1126023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Fron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B7AA9CA-FAAC-4999-B5B7-30E85D42A5C9}" type="TxLink">
            <a:rPr lang="en-US" sz="25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7</a:t>
          </a:fld>
          <a:endParaRPr lang="tr-TR" sz="25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204715</xdr:colOff>
      <xdr:row>3</xdr:row>
      <xdr:rowOff>138546</xdr:rowOff>
    </xdr:from>
    <xdr:to>
      <xdr:col>15</xdr:col>
      <xdr:colOff>552014</xdr:colOff>
      <xdr:row>10</xdr:row>
      <xdr:rowOff>52296</xdr:rowOff>
    </xdr:to>
    <xdr:sp macro="" textlink="PivotTableAnalyst!E7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C443C2BB-B776-46EB-B480-7EE53E462BD6}"/>
            </a:ext>
          </a:extLst>
        </xdr:cNvPr>
        <xdr:cNvSpPr/>
      </xdr:nvSpPr>
      <xdr:spPr>
        <a:xfrm>
          <a:off x="8517442" y="658091"/>
          <a:ext cx="2425481" cy="1126023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Fron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6088EE2-5743-424A-92E8-A339AA69B1AD}" type="TxLink">
            <a:rPr lang="en-US" sz="25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₺9.514,29</a:t>
          </a:fld>
          <a:endParaRPr lang="tr-TR" sz="25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432955</xdr:colOff>
      <xdr:row>10</xdr:row>
      <xdr:rowOff>163284</xdr:rowOff>
    </xdr:from>
    <xdr:to>
      <xdr:col>7</xdr:col>
      <xdr:colOff>658091</xdr:colOff>
      <xdr:row>24</xdr:row>
      <xdr:rowOff>34636</xdr:rowOff>
    </xdr:to>
    <xdr:graphicFrame macro="">
      <xdr:nvGraphicFramePr>
        <xdr:cNvPr id="7" name="Grafik 1">
          <a:extLst>
            <a:ext uri="{FF2B5EF4-FFF2-40B4-BE49-F238E27FC236}">
              <a16:creationId xmlns:a16="http://schemas.microsoft.com/office/drawing/2014/main" id="{8F3FEE4C-7A42-4A4C-8B92-B345B94A9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325950</xdr:colOff>
      <xdr:row>11</xdr:row>
      <xdr:rowOff>38345</xdr:rowOff>
    </xdr:from>
    <xdr:to>
      <xdr:col>15</xdr:col>
      <xdr:colOff>519546</xdr:colOff>
      <xdr:row>24</xdr:row>
      <xdr:rowOff>69272</xdr:rowOff>
    </xdr:to>
    <xdr:graphicFrame macro="">
      <xdr:nvGraphicFramePr>
        <xdr:cNvPr id="8" name="Grafik 2">
          <a:extLst>
            <a:ext uri="{FF2B5EF4-FFF2-40B4-BE49-F238E27FC236}">
              <a16:creationId xmlns:a16="http://schemas.microsoft.com/office/drawing/2014/main" id="{031170F3-2AB6-4D22-AE27-0FECFAC05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117518</xdr:colOff>
      <xdr:row>4</xdr:row>
      <xdr:rowOff>165385</xdr:rowOff>
    </xdr:from>
    <xdr:to>
      <xdr:col>1</xdr:col>
      <xdr:colOff>212768</xdr:colOff>
      <xdr:row>9</xdr:row>
      <xdr:rowOff>6217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D4527083-0FD1-4938-B9F0-A3B5455A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18" y="858112"/>
          <a:ext cx="787977" cy="706741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Above"/>
          <a:lightRig rig="threePt" dir="t"/>
        </a:scene3d>
      </xdr:spPr>
    </xdr:pic>
    <xdr:clientData/>
  </xdr:twoCellAnchor>
  <xdr:twoCellAnchor editAs="oneCell">
    <xdr:from>
      <xdr:col>7</xdr:col>
      <xdr:colOff>651989</xdr:colOff>
      <xdr:row>5</xdr:row>
      <xdr:rowOff>20425</xdr:rowOff>
    </xdr:from>
    <xdr:to>
      <xdr:col>9</xdr:col>
      <xdr:colOff>415635</xdr:colOff>
      <xdr:row>9</xdr:row>
      <xdr:rowOff>74951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290A2998-44BC-45E9-8CEE-4068713A7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1080" y="886334"/>
          <a:ext cx="1149100" cy="747253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Above"/>
          <a:lightRig rig="threePt" dir="t"/>
        </a:scene3d>
      </xdr:spPr>
    </xdr:pic>
    <xdr:clientData/>
  </xdr:twoCellAnchor>
  <xdr:twoCellAnchor editAs="oneCell">
    <xdr:from>
      <xdr:col>3</xdr:col>
      <xdr:colOff>638558</xdr:colOff>
      <xdr:row>4</xdr:row>
      <xdr:rowOff>73280</xdr:rowOff>
    </xdr:from>
    <xdr:to>
      <xdr:col>5</xdr:col>
      <xdr:colOff>575208</xdr:colOff>
      <xdr:row>9</xdr:row>
      <xdr:rowOff>113790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CD30EB4F-1939-4F1E-AC94-A508F953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6740" y="766007"/>
          <a:ext cx="1322104" cy="906419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Above"/>
          <a:lightRig rig="threePt" dir="t"/>
        </a:scene3d>
      </xdr:spPr>
    </xdr:pic>
    <xdr:clientData/>
  </xdr:twoCellAnchor>
  <xdr:twoCellAnchor editAs="oneCell">
    <xdr:from>
      <xdr:col>11</xdr:col>
      <xdr:colOff>368258</xdr:colOff>
      <xdr:row>4</xdr:row>
      <xdr:rowOff>53060</xdr:rowOff>
    </xdr:from>
    <xdr:to>
      <xdr:col>14</xdr:col>
      <xdr:colOff>21030</xdr:colOff>
      <xdr:row>10</xdr:row>
      <xdr:rowOff>7956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BB64131B-BF5D-4226-8A53-8A2B6B624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258" y="745787"/>
          <a:ext cx="1730954" cy="993987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Above"/>
          <a:lightRig rig="threePt" dir="t"/>
        </a:scene3d>
      </xdr:spPr>
    </xdr:pic>
    <xdr:clientData/>
  </xdr:twoCellAnchor>
  <xdr:twoCellAnchor>
    <xdr:from>
      <xdr:col>0</xdr:col>
      <xdr:colOff>596241</xdr:colOff>
      <xdr:row>7</xdr:row>
      <xdr:rowOff>139782</xdr:rowOff>
    </xdr:from>
    <xdr:to>
      <xdr:col>3</xdr:col>
      <xdr:colOff>284514</xdr:colOff>
      <xdr:row>10</xdr:row>
      <xdr:rowOff>30924</xdr:rowOff>
    </xdr:to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673A5087-C731-4CD7-97A4-E5572F25E0CE}"/>
            </a:ext>
          </a:extLst>
        </xdr:cNvPr>
        <xdr:cNvSpPr txBox="1"/>
      </xdr:nvSpPr>
      <xdr:spPr>
        <a:xfrm>
          <a:off x="596241" y="1352055"/>
          <a:ext cx="1766455" cy="41068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000" b="1">
              <a:solidFill>
                <a:schemeClr val="tx1">
                  <a:lumMod val="75000"/>
                  <a:lumOff val="25000"/>
                </a:schemeClr>
              </a:solidFill>
              <a:latin typeface="+mj-lt"/>
            </a:rPr>
            <a:t>Total Revenue</a:t>
          </a:r>
        </a:p>
      </xdr:txBody>
    </xdr:sp>
    <xdr:clientData/>
  </xdr:twoCellAnchor>
  <xdr:twoCellAnchor>
    <xdr:from>
      <xdr:col>5</xdr:col>
      <xdr:colOff>189986</xdr:colOff>
      <xdr:row>7</xdr:row>
      <xdr:rowOff>127368</xdr:rowOff>
    </xdr:from>
    <xdr:to>
      <xdr:col>7</xdr:col>
      <xdr:colOff>369866</xdr:colOff>
      <xdr:row>10</xdr:row>
      <xdr:rowOff>18510</xdr:rowOff>
    </xdr:to>
    <xdr:sp macro="" textlink="">
      <xdr:nvSpPr>
        <xdr:cNvPr id="15" name="Metin kutusu 14">
          <a:extLst>
            <a:ext uri="{FF2B5EF4-FFF2-40B4-BE49-F238E27FC236}">
              <a16:creationId xmlns:a16="http://schemas.microsoft.com/office/drawing/2014/main" id="{60DB9352-74F7-4C1E-879C-4EADD7182439}"/>
            </a:ext>
          </a:extLst>
        </xdr:cNvPr>
        <xdr:cNvSpPr txBox="1"/>
      </xdr:nvSpPr>
      <xdr:spPr>
        <a:xfrm>
          <a:off x="3653622" y="1339641"/>
          <a:ext cx="1565335" cy="41068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tr-TR" sz="20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rPr>
            <a:t>Total Orders</a:t>
          </a:r>
        </a:p>
      </xdr:txBody>
    </xdr:sp>
    <xdr:clientData/>
  </xdr:twoCellAnchor>
  <xdr:twoCellAnchor>
    <xdr:from>
      <xdr:col>8</xdr:col>
      <xdr:colOff>601188</xdr:colOff>
      <xdr:row>7</xdr:row>
      <xdr:rowOff>148217</xdr:rowOff>
    </xdr:from>
    <xdr:to>
      <xdr:col>11</xdr:col>
      <xdr:colOff>531964</xdr:colOff>
      <xdr:row>10</xdr:row>
      <xdr:rowOff>39359</xdr:rowOff>
    </xdr:to>
    <xdr:sp macro="" textlink="">
      <xdr:nvSpPr>
        <xdr:cNvPr id="16" name="Metin kutusu 15">
          <a:extLst>
            <a:ext uri="{FF2B5EF4-FFF2-40B4-BE49-F238E27FC236}">
              <a16:creationId xmlns:a16="http://schemas.microsoft.com/office/drawing/2014/main" id="{BAEE7159-3DA5-453A-A668-A1EAD43E7280}"/>
            </a:ext>
          </a:extLst>
        </xdr:cNvPr>
        <xdr:cNvSpPr txBox="1"/>
      </xdr:nvSpPr>
      <xdr:spPr>
        <a:xfrm>
          <a:off x="6143006" y="1360490"/>
          <a:ext cx="2008958" cy="41068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0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rPr>
            <a:t>Total</a:t>
          </a:r>
          <a:r>
            <a:rPr lang="tr-TR" sz="2000" b="1">
              <a:latin typeface="+mj-lt"/>
            </a:rPr>
            <a:t> </a:t>
          </a:r>
          <a:r>
            <a:rPr lang="tr-TR" sz="20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12</xdr:col>
      <xdr:colOff>463881</xdr:colOff>
      <xdr:row>7</xdr:row>
      <xdr:rowOff>141141</xdr:rowOff>
    </xdr:from>
    <xdr:to>
      <xdr:col>15</xdr:col>
      <xdr:colOff>450273</xdr:colOff>
      <xdr:row>10</xdr:row>
      <xdr:rowOff>136070</xdr:rowOff>
    </xdr:to>
    <xdr:sp macro="" textlink="">
      <xdr:nvSpPr>
        <xdr:cNvPr id="17" name="Metin kutusu 16">
          <a:extLst>
            <a:ext uri="{FF2B5EF4-FFF2-40B4-BE49-F238E27FC236}">
              <a16:creationId xmlns:a16="http://schemas.microsoft.com/office/drawing/2014/main" id="{791194B2-9F5D-4B45-B980-8FECB482F296}"/>
            </a:ext>
          </a:extLst>
        </xdr:cNvPr>
        <xdr:cNvSpPr txBox="1"/>
      </xdr:nvSpPr>
      <xdr:spPr>
        <a:xfrm>
          <a:off x="8776608" y="1353414"/>
          <a:ext cx="2064574" cy="514474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0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rPr>
            <a:t>Avg Order</a:t>
          </a:r>
          <a:r>
            <a:rPr lang="tr-TR" sz="2000" b="1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rPr>
            <a:t> </a:t>
          </a:r>
          <a:r>
            <a:rPr lang="tr-TR" sz="20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rPr>
            <a:t>Value</a:t>
          </a:r>
        </a:p>
      </xdr:txBody>
    </xdr:sp>
    <xdr:clientData/>
  </xdr:twoCellAnchor>
  <xdr:twoCellAnchor>
    <xdr:from>
      <xdr:col>8</xdr:col>
      <xdr:colOff>207818</xdr:colOff>
      <xdr:row>25</xdr:row>
      <xdr:rowOff>34637</xdr:rowOff>
    </xdr:from>
    <xdr:to>
      <xdr:col>15</xdr:col>
      <xdr:colOff>519545</xdr:colOff>
      <xdr:row>41</xdr:row>
      <xdr:rowOff>6927</xdr:rowOff>
    </xdr:to>
    <xdr:graphicFrame macro="">
      <xdr:nvGraphicFramePr>
        <xdr:cNvPr id="19" name="Grafik 18">
          <a:extLst>
            <a:ext uri="{FF2B5EF4-FFF2-40B4-BE49-F238E27FC236}">
              <a16:creationId xmlns:a16="http://schemas.microsoft.com/office/drawing/2014/main" id="{66659278-8D00-41B2-93E1-A20A28535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432955</xdr:colOff>
      <xdr:row>25</xdr:row>
      <xdr:rowOff>0</xdr:rowOff>
    </xdr:from>
    <xdr:to>
      <xdr:col>7</xdr:col>
      <xdr:colOff>658090</xdr:colOff>
      <xdr:row>40</xdr:row>
      <xdr:rowOff>145472</xdr:rowOff>
    </xdr:to>
    <xdr:graphicFrame macro="">
      <xdr:nvGraphicFramePr>
        <xdr:cNvPr id="26" name="Grafik 25">
          <a:extLst>
            <a:ext uri="{FF2B5EF4-FFF2-40B4-BE49-F238E27FC236}">
              <a16:creationId xmlns:a16="http://schemas.microsoft.com/office/drawing/2014/main" id="{03ED5DD1-FFAF-4740-8E27-4D4313BF6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385880</xdr:colOff>
      <xdr:row>28</xdr:row>
      <xdr:rowOff>155865</xdr:rowOff>
    </xdr:from>
    <xdr:to>
      <xdr:col>4</xdr:col>
      <xdr:colOff>0</xdr:colOff>
      <xdr:row>36</xdr:row>
      <xdr:rowOff>6557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7A4AD7E4-1319-18B4-CD1E-9B646DA1E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880" y="5489865"/>
          <a:ext cx="2038665" cy="1374692"/>
        </a:xfrm>
        <a:prstGeom prst="rect">
          <a:avLst/>
        </a:prstGeom>
      </xdr:spPr>
    </xdr:pic>
    <xdr:clientData/>
  </xdr:twoCellAnchor>
  <xdr:twoCellAnchor editAs="oneCell">
    <xdr:from>
      <xdr:col>6</xdr:col>
      <xdr:colOff>69273</xdr:colOff>
      <xdr:row>26</xdr:row>
      <xdr:rowOff>100445</xdr:rowOff>
    </xdr:from>
    <xdr:to>
      <xdr:col>13</xdr:col>
      <xdr:colOff>169718</xdr:colOff>
      <xdr:row>41</xdr:row>
      <xdr:rowOff>138545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B235452F-D539-3E4E-C196-162B1EE1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6091" y="5053445"/>
          <a:ext cx="4343400" cy="2895600"/>
        </a:xfrm>
        <a:prstGeom prst="rect">
          <a:avLst/>
        </a:prstGeom>
      </xdr:spPr>
    </xdr:pic>
    <xdr:clientData/>
  </xdr:twoCellAnchor>
  <xdr:twoCellAnchor editAs="oneCell">
    <xdr:from>
      <xdr:col>2</xdr:col>
      <xdr:colOff>554182</xdr:colOff>
      <xdr:row>27</xdr:row>
      <xdr:rowOff>86591</xdr:rowOff>
    </xdr:from>
    <xdr:to>
      <xdr:col>8</xdr:col>
      <xdr:colOff>554182</xdr:colOff>
      <xdr:row>40</xdr:row>
      <xdr:rowOff>34636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B2932D6E-0DF4-03A1-23DC-DB6148857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6455" y="5230091"/>
          <a:ext cx="3636818" cy="242454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150091</xdr:rowOff>
    </xdr:from>
    <xdr:to>
      <xdr:col>20</xdr:col>
      <xdr:colOff>0</xdr:colOff>
      <xdr:row>46</xdr:row>
      <xdr:rowOff>0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0A9B2A17-FE36-9F68-81D7-5DA03047A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4" y="4722091"/>
          <a:ext cx="6061363" cy="40409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re Erol" refreshedDate="46122.999423611109" createdVersion="7" refreshedVersion="7" minRefreshableVersion="3" recordCount="8" xr:uid="{AFF61246-E3EA-47E0-9985-D60F36EEBD80}">
  <cacheSource type="worksheet">
    <worksheetSource name="AnalysisData"/>
  </cacheSource>
  <cacheFields count="12">
    <cacheField name="ORDERI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ORDERDATE" numFmtId="14">
      <sharedItems containsSemiMixedTypes="0" containsNonDate="0" containsDate="1" containsString="0" minDate="2024-01-10T00:00:00" maxDate="2024-07-13T00:00:00" count="7">
        <d v="2024-01-10T00:00:00"/>
        <d v="2024-02-12T00:00:00"/>
        <d v="2024-03-15T00:00:00"/>
        <d v="2024-04-01T00:00:00"/>
        <d v="2024-05-05T00:00:00"/>
        <d v="2024-06-10T00:00:00"/>
        <d v="2024-07-12T00:00:00"/>
      </sharedItems>
      <fieldGroup par="10" base="1">
        <rangePr groupBy="days" startDate="2024-01-10T00:00:00" endDate="2024-07-13T00:00:00"/>
        <groupItems count="368">
          <s v="&lt;10.01.2024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3.07.2024"/>
        </groupItems>
      </fieldGroup>
    </cacheField>
    <cacheField name="CUSTOMERNAME" numFmtId="0">
      <sharedItems count="7">
        <s v="Emre Erol"/>
        <s v="Ahmet Yılmaz"/>
        <s v="Ayşe Demir"/>
        <s v="Mehmet Kaya"/>
        <s v="Zeynep Çelik"/>
        <s v="Can Arslan"/>
        <s v="Elif Şahin"/>
      </sharedItems>
    </cacheField>
    <cacheField name="CITYNAME" numFmtId="0">
      <sharedItems count="5">
        <s v="ANKARA"/>
        <s v="İSTANBUL"/>
        <s v="İZMİR"/>
        <s v="BURSA"/>
        <s v="ANTALYA"/>
      </sharedItems>
    </cacheField>
    <cacheField name="PRODUCTNAME" numFmtId="0">
      <sharedItems count="7">
        <s v="LAPTOP"/>
        <s v="HEADPHONES"/>
        <s v="VACUUM"/>
        <s v="T-SHIRT"/>
        <s v="BOOK"/>
        <s v="FOOTBALL BALL"/>
        <s v="HEADPHONES1" u="1"/>
      </sharedItems>
    </cacheField>
    <cacheField name="CATEGORYNAME" numFmtId="0">
      <sharedItems count="6">
        <s v="ELECTRONICTS"/>
        <s v="HOME"/>
        <s v="CLOTHING"/>
        <s v="BOOKS"/>
        <s v="SPORTS"/>
        <s v="ELECTRONICS" u="1"/>
      </sharedItems>
    </cacheField>
    <cacheField name="PAYMENTMETHOD" numFmtId="0">
      <sharedItems count="3">
        <s v="CREDIT CARD"/>
        <s v="CASH"/>
        <s v="DEBIT CARD"/>
      </sharedItems>
    </cacheField>
    <cacheField name="QUANTITY" numFmtId="0">
      <sharedItems containsSemiMixedTypes="0" containsString="0" containsNumber="1" containsInteger="1" minValue="1" maxValue="4"/>
    </cacheField>
    <cacheField name="UNITPRICE" numFmtId="165">
      <sharedItems containsSemiMixedTypes="0" containsString="0" containsNumber="1" containsInteger="1" minValue="250" maxValue="25000"/>
    </cacheField>
    <cacheField name="TOTALAMOUNT" numFmtId="165">
      <sharedItems containsSemiMixedTypes="0" containsString="0" containsNumber="1" containsInteger="1" minValue="800" maxValue="25000" count="7">
        <n v="25000"/>
        <n v="3000"/>
        <n v="8500"/>
        <n v="1800"/>
        <n v="1000"/>
        <n v="800"/>
        <n v="1500"/>
      </sharedItems>
    </cacheField>
    <cacheField name="Ay" numFmtId="0" databaseField="0">
      <fieldGroup base="1">
        <rangePr groupBy="months" startDate="2024-01-10T00:00:00" endDate="2024-07-13T00:00:00"/>
        <groupItems count="14">
          <s v="&lt;10.01.2024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3.07.2024"/>
        </groupItems>
      </fieldGroup>
    </cacheField>
    <cacheField name="Avg Order Values" numFmtId="0" formula="TOTALAMOUNT  /QUANTITY" databaseField="0"/>
  </cacheFields>
  <extLst>
    <ext xmlns:x14="http://schemas.microsoft.com/office/spreadsheetml/2009/9/main" uri="{725AE2AE-9491-48be-B2B4-4EB974FC3084}">
      <x14:pivotCacheDefinition pivotCacheId="16892609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x v="0"/>
    <x v="0"/>
    <x v="0"/>
    <n v="1"/>
    <n v="25000"/>
    <x v="0"/>
  </r>
  <r>
    <x v="1"/>
    <x v="1"/>
    <x v="1"/>
    <x v="1"/>
    <x v="1"/>
    <x v="0"/>
    <x v="1"/>
    <n v="2"/>
    <n v="1500"/>
    <x v="1"/>
  </r>
  <r>
    <x v="2"/>
    <x v="2"/>
    <x v="2"/>
    <x v="2"/>
    <x v="2"/>
    <x v="1"/>
    <x v="0"/>
    <n v="1"/>
    <n v="8500"/>
    <x v="2"/>
  </r>
  <r>
    <x v="3"/>
    <x v="3"/>
    <x v="3"/>
    <x v="3"/>
    <x v="3"/>
    <x v="2"/>
    <x v="0"/>
    <n v="3"/>
    <n v="600"/>
    <x v="3"/>
  </r>
  <r>
    <x v="4"/>
    <x v="4"/>
    <x v="4"/>
    <x v="4"/>
    <x v="4"/>
    <x v="3"/>
    <x v="1"/>
    <n v="4"/>
    <n v="250"/>
    <x v="4"/>
  </r>
  <r>
    <x v="5"/>
    <x v="5"/>
    <x v="5"/>
    <x v="3"/>
    <x v="5"/>
    <x v="4"/>
    <x v="0"/>
    <n v="2"/>
    <n v="400"/>
    <x v="5"/>
  </r>
  <r>
    <x v="6"/>
    <x v="6"/>
    <x v="6"/>
    <x v="1"/>
    <x v="1"/>
    <x v="0"/>
    <x v="2"/>
    <n v="1"/>
    <n v="1500"/>
    <x v="6"/>
  </r>
  <r>
    <x v="6"/>
    <x v="6"/>
    <x v="6"/>
    <x v="1"/>
    <x v="0"/>
    <x v="0"/>
    <x v="2"/>
    <n v="1"/>
    <n v="2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4731A-71C0-421B-8070-041BA34ECA59}" name="PivotTable10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17">
  <location ref="A24:B31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8">
        <item x="2"/>
        <item x="3"/>
        <item x="0"/>
        <item m="1" x="6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rowFields count="1">
    <field x="4"/>
  </rowFields>
  <rowItems count="7">
    <i>
      <x v="2"/>
    </i>
    <i>
      <x/>
    </i>
    <i>
      <x v="4"/>
    </i>
    <i>
      <x v="1"/>
    </i>
    <i>
      <x v="6"/>
    </i>
    <i>
      <x v="5"/>
    </i>
    <i t="grand">
      <x/>
    </i>
  </rowItems>
  <colItems count="1">
    <i/>
  </colItems>
  <dataFields count="1">
    <dataField name="Toplam TOTALAMOUNT" fld="9" baseField="4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53354-FD31-4FF2-BE58-C925C1A0EB55}" name="PivotTable7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10">
  <location ref="D17:E21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numFmtId="164" showAll="0"/>
    <pivotField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enel Toplamın %’si" fld="6" subtotal="count" showDataAs="percentOfTotal" baseField="6" baseItem="2" numFmtId="1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EDE0C-16FD-4699-9F5A-05CD4C5EC9A2}" name="PivotTable6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4">
  <location ref="D51:F68" firstHeaderRow="1" firstDataRow="1" firstDataCol="0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F9F34-C296-45D3-B6E3-CC683B7AE645}" name="PivotTable5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4">
  <location ref="D28:F45" firstHeaderRow="1" firstDataRow="1" firstDataCol="0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A3CFF-8E37-43BE-839E-15330672CEED}" name="PivotTable4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4">
  <location ref="D6:D7" firstHeaderRow="1" firstDataRow="1" firstDataCol="0"/>
  <pivotFields count="12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ay ORDERID" fld="0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78671-8A74-4378-A5A9-E9F7A4DB879C}" name="PivotTable2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4">
  <location ref="D3:D4" firstHeaderRow="1" firstDataRow="1" firstDataCol="0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TOTAL REVENUE" fld="9" baseField="0" baseItem="2431410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7BA45-1895-4F2A-8B86-302364966DFF}" name="PivotTable3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4">
  <location ref="A13:B19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7">
        <item x="3"/>
        <item x="2"/>
        <item h="1" m="1" x="5"/>
        <item x="0"/>
        <item x="1"/>
        <item x="4"/>
        <item t="default"/>
      </items>
    </pivotField>
    <pivotField showAll="0"/>
    <pivotField showAll="0"/>
    <pivotField numFmtId="164" showAll="0"/>
    <pivotField dataField="1" numFmtId="164" showAll="0"/>
    <pivotField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ragToRow="0" dragToCol="0" dragToPage="0" showAll="0" defaultSubtotal="0"/>
  </pivotFields>
  <rowFields count="1">
    <field x="5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T. TOTALAMOUNT" fld="9" baseField="5" baseItem="3" numFmtId="166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B51F3-7603-4D31-8804-0D11B1E2D438}" name="PivotTable1" cacheId="128" applyNumberFormats="0" applyBorderFormats="0" applyFontFormats="0" applyPatternFormats="0" applyAlignmentFormats="0" applyWidthHeightFormats="1" dataCaption="Değerler" updatedVersion="7" minRefreshableVersion="3" preserveFormatting="0" itemPrintTitles="1" createdVersion="7" indent="0" outline="1" outlineData="1" multipleFieldFilters="0" chartFormat="2" rowHeaderCaption="Sales By City">
  <location ref="A3:B9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>
      <items count="15">
        <item h="1" sd="0" x="0"/>
        <item h="1" sd="0" x="1"/>
        <item h="1"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. TOTALAMOUNT" fld="9" baseField="3" baseItem="0" numFmtId="166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85CC1-5675-46EE-9FC3-A6CC689FF51C}" name="CUSTOMER" displayName="CUSTOMER" ref="A3:E10" totalsRowShown="0" headerRowDxfId="61" dataDxfId="59" headerRowBorderDxfId="60" tableBorderDxfId="58" totalsRowBorderDxfId="57">
  <autoFilter ref="A3:E10" xr:uid="{88A85CC1-5675-46EE-9FC3-A6CC689FF51C}"/>
  <tableColumns count="5">
    <tableColumn id="1" xr3:uid="{44358B55-13D5-41DF-AB14-00BEB8B049F6}" name="CUSTOMERID" dataDxfId="56"/>
    <tableColumn id="2" xr3:uid="{4C8C4577-4EC6-48DC-807B-FC0CF33DBD9F}" name="CUSTOMERNAME" dataDxfId="55"/>
    <tableColumn id="3" xr3:uid="{48A40E9B-AEDF-4407-B53A-FE84590DE3D8}" name="CITYID" dataDxfId="54"/>
    <tableColumn id="4" xr3:uid="{40AFBB58-ADD9-4511-9AB4-49BE5CD4F8DC}" name="GENDER" dataDxfId="53"/>
    <tableColumn id="5" xr3:uid="{4BAB6A88-2F08-4B24-8A81-722A49B4D1CF}" name="AGE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F42C4-5DBC-4714-A45F-EE762291A75F}" name="PRODUCT" displayName="PRODUCT" ref="H3:K10" totalsRowShown="0" headerRowDxfId="51" headerRowBorderDxfId="50" tableBorderDxfId="49" totalsRowBorderDxfId="48">
  <autoFilter ref="H3:K10" xr:uid="{4FFF42C4-5DBC-4714-A45F-EE762291A75F}"/>
  <tableColumns count="4">
    <tableColumn id="1" xr3:uid="{481D23D0-F32D-464B-B3FB-2BE4ECFE5EB2}" name="PRODUCTID" dataDxfId="47"/>
    <tableColumn id="2" xr3:uid="{2A143E0B-1281-4C92-97D1-6A95BD30D4CC}" name="PRODUCTNAME" dataDxfId="46"/>
    <tableColumn id="3" xr3:uid="{D689B50E-427A-424C-B54A-C2A4EC74BCE7}" name="CATEGORYID" dataDxfId="45"/>
    <tableColumn id="4" xr3:uid="{775BF088-B52F-4F29-9605-6937A03619C0}" name="PRICE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A39420-BE33-4A5A-A501-30327906E94A}" name="CITIYE" displayName="CITIYE" ref="A14:B19" totalsRowShown="0" headerRowDxfId="43" headerRowBorderDxfId="42" tableBorderDxfId="41" totalsRowBorderDxfId="40">
  <autoFilter ref="A14:B19" xr:uid="{86A39420-BE33-4A5A-A501-30327906E94A}"/>
  <tableColumns count="2">
    <tableColumn id="1" xr3:uid="{11D446FA-8FC1-451B-881F-650A2F6DBC07}" name="CITYID" dataDxfId="39"/>
    <tableColumn id="2" xr3:uid="{C485A69A-28AF-427A-8470-0B4DE1A74F92}" name="CITYNAME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16B9A1-8424-453C-BF69-298E887A12A7}" name="CATEGORYE" displayName="CATEGORYE" ref="H13:I18" totalsRowShown="0" headerRowDxfId="37" headerRowBorderDxfId="36" tableBorderDxfId="35" totalsRowBorderDxfId="34">
  <autoFilter ref="H13:I18" xr:uid="{8F16B9A1-8424-453C-BF69-298E887A12A7}"/>
  <tableColumns count="2">
    <tableColumn id="1" xr3:uid="{B166D3E3-BB4D-4A36-A2A9-7DABDA74B6CF}" name="CATEGORYID" dataDxfId="33"/>
    <tableColumn id="2" xr3:uid="{B0FB8533-F9AB-496D-843D-B3EBFAD3BA90}" name="CATEGORYNAME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B350F1-EAE0-4486-B05A-9BA07C56A245}" name="ORDERDETAIL" displayName="ORDERDETAIL" ref="C34:G43" totalsRowShown="0" headerRowDxfId="31" headerRowBorderDxfId="30" tableBorderDxfId="29" totalsRowBorderDxfId="28">
  <autoFilter ref="C34:G43" xr:uid="{AAB350F1-EAE0-4486-B05A-9BA07C56A245}"/>
  <tableColumns count="5">
    <tableColumn id="1" xr3:uid="{A3707F59-0CBB-4F13-9BF0-11608FF0E388}" name="ORDERDETAILID" dataDxfId="27"/>
    <tableColumn id="2" xr3:uid="{51B13EC0-6778-4419-B9C3-DF96AD233F8D}" name="ORDERID" dataDxfId="26"/>
    <tableColumn id="3" xr3:uid="{C1E9E013-D4D9-457C-B03E-9D99BCE06ED5}" name="PRODUCTID" dataDxfId="25"/>
    <tableColumn id="4" xr3:uid="{C3001F47-C419-4601-9A19-27EEF200B154}" name="QUANTITY" dataDxfId="24"/>
    <tableColumn id="5" xr3:uid="{8EEB9322-3159-4CD9-A850-C2CFEE7779F8}" name="UNITPRICE" dataDxfId="23" dataCellStyle="Virgü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E3E2F3-59EA-4D2F-8BC9-39BC248D5949}" name="ORDER" displayName="ORDER" ref="C23:F30" totalsRowShown="0" headerRowDxfId="22" headerRowBorderDxfId="21" tableBorderDxfId="20" totalsRowBorderDxfId="19">
  <autoFilter ref="C23:F30" xr:uid="{51E3E2F3-59EA-4D2F-8BC9-39BC248D5949}"/>
  <tableColumns count="4">
    <tableColumn id="1" xr3:uid="{5649165E-015A-4BB4-BE27-65C3C79AFBF9}" name="ORDERID" dataDxfId="18"/>
    <tableColumn id="2" xr3:uid="{6AB5A325-E9F6-4176-95F9-A652E5F5049B}" name="CUSTOMERID" dataDxfId="17"/>
    <tableColumn id="3" xr3:uid="{BA61111F-85D9-463A-8D93-12D3EB614544}" name="ORDERDATE" dataDxfId="16"/>
    <tableColumn id="4" xr3:uid="{97ADADDE-B3DD-42B5-BE97-CF5D618886DB}" name="PAYMENTMETHOD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FC5D37-0412-4D4B-9304-910B7D6DA466}" name="AnalysisData" displayName="AnalysisData" ref="A1:J9" totalsRowShown="0" headerRowDxfId="14" dataDxfId="12" headerRowBorderDxfId="13" tableBorderDxfId="11" totalsRowBorderDxfId="10">
  <autoFilter ref="A1:J9" xr:uid="{53FC5D37-0412-4D4B-9304-910B7D6DA466}"/>
  <tableColumns count="10">
    <tableColumn id="1" xr3:uid="{B9202454-9BCD-4A95-8B80-E3F017B69485}" name="ORDERID" dataDxfId="9"/>
    <tableColumn id="2" xr3:uid="{2D38EC32-0131-4BB8-8B8D-A8989A67AF7A}" name="ORDERDATE" dataDxfId="8"/>
    <tableColumn id="3" xr3:uid="{C6A8E769-AC24-4DF0-BA57-387E7783F1A4}" name="CUSTOMERNAME" dataDxfId="7"/>
    <tableColumn id="4" xr3:uid="{716502E6-0988-4BA9-BD50-2970B78A09A6}" name="CITYNAME" dataDxfId="6"/>
    <tableColumn id="5" xr3:uid="{DEBD5FCD-6345-48A8-A352-F0515B749A17}" name="PRODUCTNAME" dataDxfId="5"/>
    <tableColumn id="6" xr3:uid="{77F70B07-60D4-4D29-8D49-BB95D5112CE6}" name="CATEGORYNAME" dataDxfId="4"/>
    <tableColumn id="7" xr3:uid="{ED4702A5-1620-4F8E-894D-EE5B4E6D2CFA}" name="PAYMENTMETHOD" dataDxfId="3"/>
    <tableColumn id="8" xr3:uid="{33EDF1CA-A88D-49DA-9C2F-46E2D99D056F}" name="QUANTITY" dataDxfId="2"/>
    <tableColumn id="9" xr3:uid="{49DBD34A-3E15-4AB0-AF99-375FCCD94D04}" name="UNITPRICE" dataDxfId="1" dataCellStyle="Virgül"/>
    <tableColumn id="10" xr3:uid="{ADAF35E3-AFB9-4401-A893-12DA71D12948}" name="TOTALAMOUNT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96FF59-1D10-4C87-8E83-E4C0067D6B77}" name="Tablo10" displayName="Tablo10" ref="F4:F5" totalsRowShown="0">
  <autoFilter ref="F4:F5" xr:uid="{6F96FF59-1D10-4C87-8E83-E4C0067D6B77}"/>
  <tableColumns count="1">
    <tableColumn id="1" xr3:uid="{D050043E-1868-4831-BD22-0480A2C2D347}" name="ORDER">
      <calculatedColumnFormula array="1">SUM(1/COUNTIF(A3:A9,A3:A9))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DE63-CB80-4E42-B2EC-F59FF35FB6EF}">
  <dimension ref="A2:N43"/>
  <sheetViews>
    <sheetView showGridLines="0" showRowColHeaders="0" zoomScale="55" zoomScaleNormal="55" workbookViewId="0">
      <selection activeCell="C27" sqref="C27"/>
    </sheetView>
  </sheetViews>
  <sheetFormatPr defaultRowHeight="15"/>
  <cols>
    <col min="1" max="1" width="17" style="1" bestFit="1" customWidth="1"/>
    <col min="2" max="2" width="15.875" bestFit="1" customWidth="1"/>
    <col min="3" max="3" width="16.125" customWidth="1"/>
    <col min="4" max="4" width="17" bestFit="1" customWidth="1"/>
    <col min="5" max="5" width="15.375" bestFit="1" customWidth="1"/>
    <col min="6" max="6" width="17" bestFit="1" customWidth="1"/>
    <col min="7" max="7" width="21.375" bestFit="1" customWidth="1"/>
    <col min="8" max="8" width="19.25" bestFit="1" customWidth="1"/>
    <col min="9" max="9" width="19.875" bestFit="1" customWidth="1"/>
    <col min="10" max="10" width="15.375" bestFit="1" customWidth="1"/>
    <col min="11" max="11" width="12.25" bestFit="1" customWidth="1"/>
    <col min="14" max="14" width="13.875" bestFit="1" customWidth="1"/>
  </cols>
  <sheetData>
    <row r="2" spans="1:14" ht="20.25">
      <c r="A2" s="62" t="s">
        <v>0</v>
      </c>
      <c r="B2" s="62"/>
      <c r="C2" s="62"/>
      <c r="D2" s="62"/>
      <c r="E2" s="62"/>
      <c r="H2" s="63" t="s">
        <v>20</v>
      </c>
      <c r="I2" s="65"/>
      <c r="J2" s="65"/>
      <c r="K2" s="64"/>
    </row>
    <row r="3" spans="1:14">
      <c r="A3" s="38" t="s">
        <v>1</v>
      </c>
      <c r="B3" s="31" t="s">
        <v>2</v>
      </c>
      <c r="C3" s="39" t="s">
        <v>16</v>
      </c>
      <c r="D3" s="31" t="s">
        <v>3</v>
      </c>
      <c r="E3" s="32" t="s">
        <v>4</v>
      </c>
      <c r="F3" s="2"/>
      <c r="H3" s="21" t="s">
        <v>12</v>
      </c>
      <c r="I3" s="4" t="s">
        <v>21</v>
      </c>
      <c r="J3" s="9" t="s">
        <v>18</v>
      </c>
      <c r="K3" s="23" t="s">
        <v>5</v>
      </c>
    </row>
    <row r="4" spans="1:14" ht="14.25">
      <c r="A4" s="18">
        <v>1</v>
      </c>
      <c r="B4" s="31" t="s">
        <v>31</v>
      </c>
      <c r="C4" s="31">
        <v>1</v>
      </c>
      <c r="D4" s="31" t="s">
        <v>38</v>
      </c>
      <c r="E4" s="32">
        <v>26</v>
      </c>
      <c r="H4" s="22">
        <v>1</v>
      </c>
      <c r="I4" s="4" t="s">
        <v>40</v>
      </c>
      <c r="J4" s="4">
        <v>1</v>
      </c>
      <c r="K4" s="24">
        <v>25000</v>
      </c>
    </row>
    <row r="5" spans="1:14" ht="14.25">
      <c r="A5" s="18">
        <v>2</v>
      </c>
      <c r="B5" s="3" t="s">
        <v>32</v>
      </c>
      <c r="C5" s="3">
        <v>2</v>
      </c>
      <c r="D5" s="3" t="s">
        <v>38</v>
      </c>
      <c r="E5" s="19">
        <v>31</v>
      </c>
      <c r="H5" s="22">
        <v>2</v>
      </c>
      <c r="I5" s="4" t="s">
        <v>41</v>
      </c>
      <c r="J5" s="4">
        <v>1</v>
      </c>
      <c r="K5" s="24">
        <v>18000</v>
      </c>
    </row>
    <row r="6" spans="1:14" ht="14.25">
      <c r="A6" s="18">
        <v>3</v>
      </c>
      <c r="B6" s="3" t="s">
        <v>33</v>
      </c>
      <c r="C6" s="3">
        <v>3</v>
      </c>
      <c r="D6" s="3" t="s">
        <v>39</v>
      </c>
      <c r="E6" s="19">
        <v>28</v>
      </c>
      <c r="H6" s="22">
        <v>3</v>
      </c>
      <c r="I6" s="4" t="s">
        <v>42</v>
      </c>
      <c r="J6" s="4">
        <v>2</v>
      </c>
      <c r="K6" s="24">
        <v>8500</v>
      </c>
    </row>
    <row r="7" spans="1:14" ht="14.25">
      <c r="A7" s="18">
        <v>4</v>
      </c>
      <c r="B7" s="3" t="s">
        <v>34</v>
      </c>
      <c r="C7" s="3">
        <v>4</v>
      </c>
      <c r="D7" s="3" t="s">
        <v>38</v>
      </c>
      <c r="E7" s="19">
        <v>35</v>
      </c>
      <c r="H7" s="22">
        <v>4</v>
      </c>
      <c r="I7" s="4" t="s">
        <v>43</v>
      </c>
      <c r="J7" s="4">
        <v>3</v>
      </c>
      <c r="K7" s="23">
        <v>600</v>
      </c>
    </row>
    <row r="8" spans="1:14" ht="14.25">
      <c r="A8" s="18">
        <v>5</v>
      </c>
      <c r="B8" s="3" t="s">
        <v>35</v>
      </c>
      <c r="C8" s="3">
        <v>5</v>
      </c>
      <c r="D8" s="3" t="s">
        <v>39</v>
      </c>
      <c r="E8" s="19">
        <v>24</v>
      </c>
      <c r="H8" s="22">
        <v>5</v>
      </c>
      <c r="I8" s="4" t="s">
        <v>44</v>
      </c>
      <c r="J8" s="4">
        <v>4</v>
      </c>
      <c r="K8" s="23">
        <v>250</v>
      </c>
    </row>
    <row r="9" spans="1:14" ht="14.25">
      <c r="A9" s="18">
        <v>6</v>
      </c>
      <c r="B9" s="3" t="s">
        <v>36</v>
      </c>
      <c r="C9" s="3">
        <v>4</v>
      </c>
      <c r="D9" s="3" t="s">
        <v>38</v>
      </c>
      <c r="E9" s="19">
        <v>29</v>
      </c>
      <c r="H9" s="22">
        <v>6</v>
      </c>
      <c r="I9" s="4" t="s">
        <v>45</v>
      </c>
      <c r="J9" s="4">
        <v>5</v>
      </c>
      <c r="K9" s="23">
        <v>400</v>
      </c>
    </row>
    <row r="10" spans="1:14" ht="14.25">
      <c r="A10" s="18">
        <v>7</v>
      </c>
      <c r="B10" s="3" t="s">
        <v>37</v>
      </c>
      <c r="C10" s="3">
        <v>2</v>
      </c>
      <c r="D10" s="3" t="s">
        <v>39</v>
      </c>
      <c r="E10" s="19">
        <v>27</v>
      </c>
      <c r="H10" s="22">
        <v>7</v>
      </c>
      <c r="I10" s="4" t="s">
        <v>46</v>
      </c>
      <c r="J10" s="4">
        <v>1</v>
      </c>
      <c r="K10" s="24">
        <v>1500</v>
      </c>
    </row>
    <row r="11" spans="1:14" ht="14.25">
      <c r="A11" s="33"/>
      <c r="B11" s="33"/>
      <c r="C11" s="33"/>
      <c r="D11" s="33"/>
      <c r="E11" s="33"/>
      <c r="H11" s="14"/>
      <c r="I11" s="14"/>
      <c r="J11" s="14"/>
      <c r="K11" s="34"/>
    </row>
    <row r="12" spans="1:14" ht="20.25">
      <c r="H12" s="66" t="s">
        <v>52</v>
      </c>
      <c r="I12" s="66"/>
    </row>
    <row r="13" spans="1:14" ht="20.25">
      <c r="A13" s="63" t="s">
        <v>15</v>
      </c>
      <c r="B13" s="64"/>
      <c r="H13" s="26" t="s">
        <v>18</v>
      </c>
      <c r="I13" s="23" t="s">
        <v>19</v>
      </c>
    </row>
    <row r="14" spans="1:14" ht="14.25">
      <c r="A14" s="25" t="s">
        <v>16</v>
      </c>
      <c r="B14" s="23" t="s">
        <v>17</v>
      </c>
      <c r="H14" s="17">
        <v>1</v>
      </c>
      <c r="I14" s="16" t="s">
        <v>30</v>
      </c>
    </row>
    <row r="15" spans="1:14" ht="13.5" customHeight="1">
      <c r="A15" s="30">
        <v>1</v>
      </c>
      <c r="B15" s="16" t="s">
        <v>22</v>
      </c>
      <c r="H15" s="22">
        <v>2</v>
      </c>
      <c r="I15" s="23" t="s">
        <v>27</v>
      </c>
      <c r="N15" s="6"/>
    </row>
    <row r="16" spans="1:14" ht="14.25">
      <c r="A16" s="18">
        <v>2</v>
      </c>
      <c r="B16" s="23" t="s">
        <v>23</v>
      </c>
      <c r="H16" s="22">
        <v>3</v>
      </c>
      <c r="I16" s="23" t="s">
        <v>29</v>
      </c>
      <c r="N16" s="5"/>
    </row>
    <row r="17" spans="1:14" ht="14.25">
      <c r="A17" s="18">
        <v>3</v>
      </c>
      <c r="B17" s="23" t="s">
        <v>24</v>
      </c>
      <c r="H17" s="22">
        <v>4</v>
      </c>
      <c r="I17" s="23" t="s">
        <v>28</v>
      </c>
      <c r="N17" s="7"/>
    </row>
    <row r="18" spans="1:14" ht="14.25">
      <c r="A18" s="18">
        <v>4</v>
      </c>
      <c r="B18" s="23" t="s">
        <v>25</v>
      </c>
      <c r="H18" s="22">
        <v>5</v>
      </c>
      <c r="I18" s="23" t="s">
        <v>50</v>
      </c>
      <c r="N18" s="7"/>
    </row>
    <row r="19" spans="1:14" ht="14.25">
      <c r="A19" s="20">
        <v>5</v>
      </c>
      <c r="B19" s="23" t="s">
        <v>26</v>
      </c>
      <c r="N19" s="7"/>
    </row>
    <row r="20" spans="1:14">
      <c r="N20" s="7"/>
    </row>
    <row r="21" spans="1:14">
      <c r="N21" s="7"/>
    </row>
    <row r="22" spans="1:14" ht="20.25">
      <c r="C22" s="63" t="s">
        <v>6</v>
      </c>
      <c r="D22" s="65"/>
      <c r="E22" s="65"/>
      <c r="F22" s="64"/>
    </row>
    <row r="23" spans="1:14">
      <c r="C23" s="27" t="s">
        <v>7</v>
      </c>
      <c r="D23" s="12" t="s">
        <v>1</v>
      </c>
      <c r="E23" s="4" t="s">
        <v>8</v>
      </c>
      <c r="F23" s="23" t="s">
        <v>9</v>
      </c>
    </row>
    <row r="24" spans="1:14">
      <c r="C24" s="17">
        <v>1</v>
      </c>
      <c r="D24" s="15">
        <v>1</v>
      </c>
      <c r="E24" s="35">
        <v>45301</v>
      </c>
      <c r="F24" s="16" t="s">
        <v>47</v>
      </c>
    </row>
    <row r="25" spans="1:14">
      <c r="C25" s="22">
        <v>2</v>
      </c>
      <c r="D25" s="4">
        <v>2</v>
      </c>
      <c r="E25" s="8">
        <v>45303</v>
      </c>
      <c r="F25" s="23" t="s">
        <v>48</v>
      </c>
    </row>
    <row r="26" spans="1:14">
      <c r="C26" s="22">
        <v>3</v>
      </c>
      <c r="D26" s="4">
        <v>3</v>
      </c>
      <c r="E26" s="8">
        <v>45306</v>
      </c>
      <c r="F26" s="23" t="s">
        <v>47</v>
      </c>
    </row>
    <row r="27" spans="1:14">
      <c r="C27" s="22">
        <v>4</v>
      </c>
      <c r="D27" s="4">
        <v>1</v>
      </c>
      <c r="E27" s="8">
        <v>45323</v>
      </c>
      <c r="F27" s="23" t="s">
        <v>47</v>
      </c>
    </row>
    <row r="28" spans="1:14">
      <c r="C28" s="22">
        <v>5</v>
      </c>
      <c r="D28" s="4">
        <v>5</v>
      </c>
      <c r="E28" s="8">
        <v>45327</v>
      </c>
      <c r="F28" s="23" t="s">
        <v>48</v>
      </c>
    </row>
    <row r="29" spans="1:14">
      <c r="C29" s="22">
        <v>6</v>
      </c>
      <c r="D29" s="4">
        <v>6</v>
      </c>
      <c r="E29" s="8">
        <v>45332</v>
      </c>
      <c r="F29" s="23" t="s">
        <v>47</v>
      </c>
    </row>
    <row r="30" spans="1:14">
      <c r="C30" s="22">
        <v>7</v>
      </c>
      <c r="D30" s="4">
        <v>7</v>
      </c>
      <c r="E30" s="8">
        <v>45334</v>
      </c>
      <c r="F30" s="23" t="s">
        <v>49</v>
      </c>
    </row>
    <row r="31" spans="1:14">
      <c r="C31" s="14"/>
      <c r="D31" s="14"/>
      <c r="E31" s="36"/>
      <c r="F31" s="14"/>
    </row>
    <row r="33" spans="3:7" ht="20.25">
      <c r="C33" s="63" t="s">
        <v>10</v>
      </c>
      <c r="D33" s="65"/>
      <c r="E33" s="65"/>
      <c r="F33" s="65"/>
      <c r="G33" s="64"/>
    </row>
    <row r="34" spans="3:7">
      <c r="C34" s="22" t="s">
        <v>11</v>
      </c>
      <c r="D34" s="10" t="s">
        <v>7</v>
      </c>
      <c r="E34" s="11" t="s">
        <v>12</v>
      </c>
      <c r="F34" s="4" t="s">
        <v>13</v>
      </c>
      <c r="G34" s="23" t="s">
        <v>14</v>
      </c>
    </row>
    <row r="35" spans="3:7">
      <c r="C35" s="17">
        <v>1</v>
      </c>
      <c r="D35" s="15">
        <v>1</v>
      </c>
      <c r="E35" s="15">
        <v>1</v>
      </c>
      <c r="F35" s="15">
        <v>1</v>
      </c>
      <c r="G35" s="37">
        <v>25000</v>
      </c>
    </row>
    <row r="36" spans="3:7">
      <c r="C36" s="22">
        <v>2</v>
      </c>
      <c r="D36" s="4">
        <v>1</v>
      </c>
      <c r="E36" s="4">
        <v>7</v>
      </c>
      <c r="F36" s="4">
        <v>2</v>
      </c>
      <c r="G36" s="24">
        <v>1500</v>
      </c>
    </row>
    <row r="37" spans="3:7">
      <c r="C37" s="22">
        <v>3</v>
      </c>
      <c r="D37" s="4">
        <v>2</v>
      </c>
      <c r="E37" s="4">
        <v>3</v>
      </c>
      <c r="F37" s="4">
        <v>1</v>
      </c>
      <c r="G37" s="24">
        <v>8500</v>
      </c>
    </row>
    <row r="38" spans="3:7">
      <c r="C38" s="22">
        <v>4</v>
      </c>
      <c r="D38" s="4">
        <v>3</v>
      </c>
      <c r="E38" s="4">
        <v>4</v>
      </c>
      <c r="F38" s="4">
        <v>3</v>
      </c>
      <c r="G38" s="24">
        <v>600</v>
      </c>
    </row>
    <row r="39" spans="3:7">
      <c r="C39" s="22">
        <v>5</v>
      </c>
      <c r="D39" s="4">
        <v>4</v>
      </c>
      <c r="E39" s="4">
        <v>2</v>
      </c>
      <c r="F39" s="4">
        <v>1</v>
      </c>
      <c r="G39" s="24">
        <v>18000</v>
      </c>
    </row>
    <row r="40" spans="3:7">
      <c r="C40" s="22">
        <v>6</v>
      </c>
      <c r="D40" s="4">
        <v>5</v>
      </c>
      <c r="E40" s="4">
        <v>5</v>
      </c>
      <c r="F40" s="4">
        <v>4</v>
      </c>
      <c r="G40" s="24">
        <v>250</v>
      </c>
    </row>
    <row r="41" spans="3:7">
      <c r="C41" s="22">
        <v>7</v>
      </c>
      <c r="D41" s="4">
        <v>6</v>
      </c>
      <c r="E41" s="4">
        <v>6</v>
      </c>
      <c r="F41" s="4">
        <v>1</v>
      </c>
      <c r="G41" s="24">
        <v>400</v>
      </c>
    </row>
    <row r="42" spans="3:7">
      <c r="C42" s="22">
        <v>8</v>
      </c>
      <c r="D42" s="4">
        <v>7</v>
      </c>
      <c r="E42" s="4">
        <v>7</v>
      </c>
      <c r="F42" s="4">
        <v>1</v>
      </c>
      <c r="G42" s="24">
        <v>1500</v>
      </c>
    </row>
    <row r="43" spans="3:7">
      <c r="C43" s="28">
        <v>9</v>
      </c>
      <c r="D43" s="13">
        <v>8</v>
      </c>
      <c r="E43" s="13">
        <v>7</v>
      </c>
      <c r="F43" s="13">
        <v>1</v>
      </c>
      <c r="G43" s="29">
        <v>25000</v>
      </c>
    </row>
  </sheetData>
  <dataConsolidate/>
  <mergeCells count="6">
    <mergeCell ref="A2:E2"/>
    <mergeCell ref="A13:B13"/>
    <mergeCell ref="C22:F22"/>
    <mergeCell ref="C33:G33"/>
    <mergeCell ref="H2:K2"/>
    <mergeCell ref="H12:I12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6097-3EE7-413A-B7D8-0B1152787942}">
  <dimension ref="A1:J9"/>
  <sheetViews>
    <sheetView showGridLines="0" showRowColHeaders="0" zoomScale="85" zoomScaleNormal="85" workbookViewId="0">
      <selection activeCell="F16" sqref="F16"/>
    </sheetView>
  </sheetViews>
  <sheetFormatPr defaultRowHeight="14.25"/>
  <cols>
    <col min="1" max="1" width="11.625" customWidth="1"/>
    <col min="2" max="2" width="14.75" bestFit="1" customWidth="1"/>
    <col min="3" max="3" width="19.5" bestFit="1" customWidth="1"/>
    <col min="4" max="4" width="12.625" bestFit="1" customWidth="1"/>
    <col min="5" max="5" width="17.875" bestFit="1" customWidth="1"/>
    <col min="6" max="6" width="19.125" bestFit="1" customWidth="1"/>
    <col min="7" max="7" width="20.625" bestFit="1" customWidth="1"/>
    <col min="8" max="8" width="12.375" customWidth="1"/>
    <col min="9" max="9" width="13.25" customWidth="1"/>
    <col min="10" max="10" width="17.5" bestFit="1" customWidth="1"/>
  </cols>
  <sheetData>
    <row r="1" spans="1:10">
      <c r="A1" s="43" t="s">
        <v>7</v>
      </c>
      <c r="B1" s="43" t="s">
        <v>8</v>
      </c>
      <c r="C1" s="43" t="s">
        <v>2</v>
      </c>
      <c r="D1" s="43" t="s">
        <v>17</v>
      </c>
      <c r="E1" s="43" t="s">
        <v>21</v>
      </c>
      <c r="F1" s="43" t="s">
        <v>19</v>
      </c>
      <c r="G1" s="43" t="s">
        <v>9</v>
      </c>
      <c r="H1" s="43" t="s">
        <v>13</v>
      </c>
      <c r="I1" s="43" t="s">
        <v>14</v>
      </c>
      <c r="J1" s="44" t="s">
        <v>51</v>
      </c>
    </row>
    <row r="2" spans="1:10">
      <c r="A2" s="45">
        <v>1</v>
      </c>
      <c r="B2" s="46">
        <v>45301</v>
      </c>
      <c r="C2" s="47" t="s">
        <v>31</v>
      </c>
      <c r="D2" s="47" t="s">
        <v>22</v>
      </c>
      <c r="E2" s="47" t="s">
        <v>40</v>
      </c>
      <c r="F2" s="47" t="s">
        <v>30</v>
      </c>
      <c r="G2" s="47" t="s">
        <v>47</v>
      </c>
      <c r="H2" s="47">
        <v>1</v>
      </c>
      <c r="I2" s="48">
        <v>25000</v>
      </c>
      <c r="J2" s="49">
        <f>H2*I2</f>
        <v>25000</v>
      </c>
    </row>
    <row r="3" spans="1:10">
      <c r="A3" s="45">
        <v>2</v>
      </c>
      <c r="B3" s="46">
        <v>45334</v>
      </c>
      <c r="C3" s="47" t="s">
        <v>32</v>
      </c>
      <c r="D3" s="47" t="s">
        <v>23</v>
      </c>
      <c r="E3" s="81" t="s">
        <v>46</v>
      </c>
      <c r="F3" s="47" t="s">
        <v>30</v>
      </c>
      <c r="G3" s="47" t="s">
        <v>48</v>
      </c>
      <c r="H3" s="47">
        <v>2</v>
      </c>
      <c r="I3" s="48">
        <v>1500</v>
      </c>
      <c r="J3" s="49">
        <f t="shared" ref="J3:J8" si="0">H3*I3</f>
        <v>3000</v>
      </c>
    </row>
    <row r="4" spans="1:10">
      <c r="A4" s="45">
        <v>3</v>
      </c>
      <c r="B4" s="46">
        <v>45366</v>
      </c>
      <c r="C4" s="47" t="s">
        <v>33</v>
      </c>
      <c r="D4" s="47" t="s">
        <v>24</v>
      </c>
      <c r="E4" s="47" t="s">
        <v>42</v>
      </c>
      <c r="F4" s="47" t="s">
        <v>27</v>
      </c>
      <c r="G4" s="47" t="s">
        <v>47</v>
      </c>
      <c r="H4" s="47">
        <v>1</v>
      </c>
      <c r="I4" s="48">
        <v>8500</v>
      </c>
      <c r="J4" s="49">
        <f t="shared" si="0"/>
        <v>8500</v>
      </c>
    </row>
    <row r="5" spans="1:10">
      <c r="A5" s="45">
        <v>4</v>
      </c>
      <c r="B5" s="46">
        <v>45383</v>
      </c>
      <c r="C5" s="47" t="s">
        <v>34</v>
      </c>
      <c r="D5" s="47" t="s">
        <v>25</v>
      </c>
      <c r="E5" s="47" t="s">
        <v>43</v>
      </c>
      <c r="F5" s="47" t="s">
        <v>29</v>
      </c>
      <c r="G5" s="47" t="s">
        <v>47</v>
      </c>
      <c r="H5" s="47">
        <v>3</v>
      </c>
      <c r="I5" s="48">
        <v>600</v>
      </c>
      <c r="J5" s="49">
        <f t="shared" si="0"/>
        <v>1800</v>
      </c>
    </row>
    <row r="6" spans="1:10">
      <c r="A6" s="45">
        <v>5</v>
      </c>
      <c r="B6" s="46">
        <v>45417</v>
      </c>
      <c r="C6" s="47" t="s">
        <v>35</v>
      </c>
      <c r="D6" s="47" t="s">
        <v>26</v>
      </c>
      <c r="E6" s="47" t="s">
        <v>44</v>
      </c>
      <c r="F6" s="47" t="s">
        <v>28</v>
      </c>
      <c r="G6" s="47" t="s">
        <v>48</v>
      </c>
      <c r="H6" s="47">
        <v>4</v>
      </c>
      <c r="I6" s="48">
        <v>250</v>
      </c>
      <c r="J6" s="49">
        <f t="shared" si="0"/>
        <v>1000</v>
      </c>
    </row>
    <row r="7" spans="1:10">
      <c r="A7" s="45">
        <v>6</v>
      </c>
      <c r="B7" s="46">
        <v>45453</v>
      </c>
      <c r="C7" s="47" t="s">
        <v>36</v>
      </c>
      <c r="D7" s="47" t="s">
        <v>25</v>
      </c>
      <c r="E7" s="47" t="s">
        <v>45</v>
      </c>
      <c r="F7" s="47" t="s">
        <v>50</v>
      </c>
      <c r="G7" s="47" t="s">
        <v>47</v>
      </c>
      <c r="H7" s="47">
        <v>2</v>
      </c>
      <c r="I7" s="48">
        <v>400</v>
      </c>
      <c r="J7" s="49">
        <f t="shared" si="0"/>
        <v>800</v>
      </c>
    </row>
    <row r="8" spans="1:10">
      <c r="A8" s="50">
        <v>7</v>
      </c>
      <c r="B8" s="51">
        <v>45485</v>
      </c>
      <c r="C8" s="52" t="s">
        <v>37</v>
      </c>
      <c r="D8" s="52" t="s">
        <v>23</v>
      </c>
      <c r="E8" s="52" t="s">
        <v>46</v>
      </c>
      <c r="F8" s="52" t="s">
        <v>30</v>
      </c>
      <c r="G8" s="52" t="s">
        <v>49</v>
      </c>
      <c r="H8" s="52">
        <v>1</v>
      </c>
      <c r="I8" s="53">
        <v>1500</v>
      </c>
      <c r="J8" s="54">
        <f t="shared" si="0"/>
        <v>1500</v>
      </c>
    </row>
    <row r="9" spans="1:10">
      <c r="A9" s="55">
        <v>7</v>
      </c>
      <c r="B9" s="56">
        <v>45485</v>
      </c>
      <c r="C9" s="57" t="s">
        <v>37</v>
      </c>
      <c r="D9" s="57" t="s">
        <v>23</v>
      </c>
      <c r="E9" s="57" t="s">
        <v>40</v>
      </c>
      <c r="F9" s="57" t="s">
        <v>30</v>
      </c>
      <c r="G9" s="57" t="s">
        <v>49</v>
      </c>
      <c r="H9" s="57">
        <v>1</v>
      </c>
      <c r="I9" s="58">
        <v>25000</v>
      </c>
      <c r="J9" s="58">
        <v>25000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73EA-13D2-4858-AB53-A5E248FAC473}">
  <dimension ref="A3:J68"/>
  <sheetViews>
    <sheetView topLeftCell="B1" zoomScale="70" zoomScaleNormal="70" workbookViewId="0">
      <selection activeCell="E7" sqref="E7"/>
    </sheetView>
  </sheetViews>
  <sheetFormatPr defaultRowHeight="14.25"/>
  <cols>
    <col min="1" max="1" width="15.625" bestFit="1" customWidth="1"/>
    <col min="2" max="2" width="22.75" bestFit="1" customWidth="1"/>
    <col min="3" max="3" width="13.5" bestFit="1" customWidth="1"/>
    <col min="4" max="4" width="22.875" bestFit="1" customWidth="1"/>
    <col min="5" max="5" width="27.25" bestFit="1" customWidth="1"/>
    <col min="6" max="6" width="20.375" customWidth="1"/>
    <col min="7" max="7" width="9.125" bestFit="1" customWidth="1"/>
    <col min="8" max="8" width="11.25" customWidth="1"/>
    <col min="9" max="9" width="13.75" bestFit="1" customWidth="1"/>
    <col min="10" max="10" width="16.375" bestFit="1" customWidth="1"/>
    <col min="11" max="11" width="16.875" bestFit="1" customWidth="1"/>
    <col min="12" max="12" width="7.875" bestFit="1" customWidth="1"/>
    <col min="13" max="13" width="13.125" bestFit="1" customWidth="1"/>
    <col min="14" max="14" width="13.625" bestFit="1" customWidth="1"/>
    <col min="15" max="15" width="16" bestFit="1" customWidth="1"/>
    <col min="16" max="16" width="15" bestFit="1" customWidth="1"/>
  </cols>
  <sheetData>
    <row r="3" spans="1:10">
      <c r="A3" s="40" t="s">
        <v>55</v>
      </c>
      <c r="B3" t="s">
        <v>56</v>
      </c>
      <c r="D3" t="s">
        <v>58</v>
      </c>
    </row>
    <row r="4" spans="1:10">
      <c r="A4" s="41" t="s">
        <v>22</v>
      </c>
      <c r="B4" s="42">
        <v>25000</v>
      </c>
      <c r="C4" s="42"/>
      <c r="D4" s="42">
        <v>66600</v>
      </c>
      <c r="F4" t="s">
        <v>61</v>
      </c>
    </row>
    <row r="5" spans="1:10">
      <c r="A5" s="41" t="s">
        <v>26</v>
      </c>
      <c r="B5" s="42">
        <v>1000</v>
      </c>
      <c r="F5" cm="1">
        <f t="array" ref="F5">SUM(1/COUNTIF(A3:A9,A3:A9))</f>
        <v>7</v>
      </c>
    </row>
    <row r="6" spans="1:10">
      <c r="A6" s="41" t="s">
        <v>25</v>
      </c>
      <c r="B6" s="42">
        <v>2600</v>
      </c>
      <c r="D6" t="s">
        <v>59</v>
      </c>
    </row>
    <row r="7" spans="1:10">
      <c r="A7" s="41" t="s">
        <v>23</v>
      </c>
      <c r="B7" s="42">
        <v>29500</v>
      </c>
      <c r="D7" s="76">
        <v>8</v>
      </c>
      <c r="E7" s="77" cm="1">
        <f t="array" ref="E7">D4/Tablo10[ORDER]</f>
        <v>9514.2857142857138</v>
      </c>
    </row>
    <row r="8" spans="1:10">
      <c r="A8" s="41" t="s">
        <v>24</v>
      </c>
      <c r="B8" s="42">
        <v>8500</v>
      </c>
    </row>
    <row r="9" spans="1:10">
      <c r="A9" s="41" t="s">
        <v>54</v>
      </c>
      <c r="B9" s="42">
        <v>66600</v>
      </c>
    </row>
    <row r="12" spans="1:10">
      <c r="J12" s="83" t="s">
        <v>60</v>
      </c>
    </row>
    <row r="13" spans="1:10">
      <c r="A13" s="40" t="s">
        <v>53</v>
      </c>
      <c r="B13" t="s">
        <v>56</v>
      </c>
      <c r="J13" s="82" cm="1">
        <f t="array" ref="J13">SUM(1/COUNTIF(A3:A9,A3:A9))</f>
        <v>7</v>
      </c>
    </row>
    <row r="14" spans="1:10">
      <c r="A14" s="41" t="s">
        <v>28</v>
      </c>
      <c r="B14" s="42">
        <v>1000</v>
      </c>
    </row>
    <row r="15" spans="1:10">
      <c r="A15" s="41" t="s">
        <v>29</v>
      </c>
      <c r="B15" s="42">
        <v>1800</v>
      </c>
    </row>
    <row r="16" spans="1:10">
      <c r="A16" s="41" t="s">
        <v>30</v>
      </c>
      <c r="B16" s="42">
        <v>54500</v>
      </c>
    </row>
    <row r="17" spans="1:10">
      <c r="A17" s="41" t="s">
        <v>27</v>
      </c>
      <c r="B17" s="42">
        <v>8500</v>
      </c>
      <c r="D17" s="40" t="s">
        <v>53</v>
      </c>
      <c r="E17" t="s">
        <v>62</v>
      </c>
    </row>
    <row r="18" spans="1:10">
      <c r="A18" s="41" t="s">
        <v>50</v>
      </c>
      <c r="B18" s="42">
        <v>800</v>
      </c>
      <c r="D18" s="41" t="s">
        <v>48</v>
      </c>
      <c r="E18" s="84">
        <v>0.25</v>
      </c>
      <c r="F18" s="78">
        <f>E18/$E$21</f>
        <v>0.25</v>
      </c>
    </row>
    <row r="19" spans="1:10">
      <c r="A19" s="41" t="s">
        <v>54</v>
      </c>
      <c r="B19" s="42">
        <v>66600</v>
      </c>
      <c r="D19" s="41" t="s">
        <v>47</v>
      </c>
      <c r="E19" s="84">
        <v>0.5</v>
      </c>
      <c r="F19" s="78">
        <f t="shared" ref="F19:F21" si="0">E19/$E$21</f>
        <v>0.5</v>
      </c>
    </row>
    <row r="20" spans="1:10">
      <c r="D20" s="41" t="s">
        <v>49</v>
      </c>
      <c r="E20" s="84">
        <v>0.25</v>
      </c>
      <c r="F20" s="78">
        <f t="shared" si="0"/>
        <v>0.25</v>
      </c>
    </row>
    <row r="21" spans="1:10">
      <c r="D21" s="41" t="s">
        <v>54</v>
      </c>
      <c r="E21" s="85">
        <v>1</v>
      </c>
      <c r="F21" s="78">
        <f t="shared" si="0"/>
        <v>1</v>
      </c>
    </row>
    <row r="22" spans="1:10">
      <c r="J22" s="77"/>
    </row>
    <row r="24" spans="1:10">
      <c r="A24" s="40" t="s">
        <v>53</v>
      </c>
      <c r="B24" t="s">
        <v>57</v>
      </c>
    </row>
    <row r="25" spans="1:10">
      <c r="A25" s="41" t="s">
        <v>40</v>
      </c>
      <c r="B25" s="76">
        <v>50000</v>
      </c>
    </row>
    <row r="26" spans="1:10">
      <c r="A26" s="41" t="s">
        <v>42</v>
      </c>
      <c r="B26" s="76">
        <v>8500</v>
      </c>
    </row>
    <row r="27" spans="1:10">
      <c r="A27" s="41" t="s">
        <v>46</v>
      </c>
      <c r="B27" s="76">
        <v>4500</v>
      </c>
    </row>
    <row r="28" spans="1:10">
      <c r="A28" s="41" t="s">
        <v>43</v>
      </c>
      <c r="B28" s="76">
        <v>1800</v>
      </c>
      <c r="D28" s="67"/>
      <c r="E28" s="68"/>
      <c r="F28" s="69"/>
    </row>
    <row r="29" spans="1:10">
      <c r="A29" s="41" t="s">
        <v>44</v>
      </c>
      <c r="B29" s="76">
        <v>1000</v>
      </c>
      <c r="D29" s="70"/>
      <c r="E29" s="71"/>
      <c r="F29" s="72"/>
    </row>
    <row r="30" spans="1:10">
      <c r="A30" s="41" t="s">
        <v>45</v>
      </c>
      <c r="B30" s="76">
        <v>800</v>
      </c>
      <c r="D30" s="70"/>
      <c r="E30" s="71"/>
      <c r="F30" s="72"/>
    </row>
    <row r="31" spans="1:10">
      <c r="A31" s="41" t="s">
        <v>54</v>
      </c>
      <c r="B31" s="76">
        <v>66600</v>
      </c>
      <c r="D31" s="70"/>
      <c r="E31" s="71"/>
      <c r="F31" s="72"/>
    </row>
    <row r="32" spans="1:10">
      <c r="D32" s="70"/>
      <c r="E32" s="71"/>
      <c r="F32" s="72"/>
    </row>
    <row r="33" spans="4:6">
      <c r="D33" s="70"/>
      <c r="E33" s="71"/>
      <c r="F33" s="72"/>
    </row>
    <row r="34" spans="4:6">
      <c r="D34" s="70"/>
      <c r="E34" s="71"/>
      <c r="F34" s="72"/>
    </row>
    <row r="35" spans="4:6">
      <c r="D35" s="70"/>
      <c r="E35" s="71"/>
      <c r="F35" s="72"/>
    </row>
    <row r="36" spans="4:6">
      <c r="D36" s="70"/>
      <c r="E36" s="71"/>
      <c r="F36" s="72"/>
    </row>
    <row r="37" spans="4:6">
      <c r="D37" s="70"/>
      <c r="E37" s="71"/>
      <c r="F37" s="72"/>
    </row>
    <row r="38" spans="4:6">
      <c r="D38" s="70"/>
      <c r="E38" s="71"/>
      <c r="F38" s="72"/>
    </row>
    <row r="39" spans="4:6">
      <c r="D39" s="70"/>
      <c r="E39" s="71"/>
      <c r="F39" s="72"/>
    </row>
    <row r="40" spans="4:6">
      <c r="D40" s="70"/>
      <c r="E40" s="71"/>
      <c r="F40" s="72"/>
    </row>
    <row r="41" spans="4:6">
      <c r="D41" s="70"/>
      <c r="E41" s="71"/>
      <c r="F41" s="72"/>
    </row>
    <row r="42" spans="4:6">
      <c r="D42" s="70"/>
      <c r="E42" s="71"/>
      <c r="F42" s="72"/>
    </row>
    <row r="43" spans="4:6">
      <c r="D43" s="70"/>
      <c r="E43" s="71"/>
      <c r="F43" s="72"/>
    </row>
    <row r="44" spans="4:6">
      <c r="D44" s="70"/>
      <c r="E44" s="71"/>
      <c r="F44" s="72"/>
    </row>
    <row r="45" spans="4:6">
      <c r="D45" s="73"/>
      <c r="E45" s="74"/>
      <c r="F45" s="75"/>
    </row>
    <row r="51" spans="4:6">
      <c r="D51" s="67"/>
      <c r="E51" s="68"/>
      <c r="F51" s="69"/>
    </row>
    <row r="52" spans="4:6">
      <c r="D52" s="70"/>
      <c r="E52" s="71"/>
      <c r="F52" s="72"/>
    </row>
    <row r="53" spans="4:6">
      <c r="D53" s="70"/>
      <c r="E53" s="71"/>
      <c r="F53" s="72"/>
    </row>
    <row r="54" spans="4:6">
      <c r="D54" s="70"/>
      <c r="E54" s="71"/>
      <c r="F54" s="72"/>
    </row>
    <row r="55" spans="4:6">
      <c r="D55" s="70"/>
      <c r="E55" s="71"/>
      <c r="F55" s="72"/>
    </row>
    <row r="56" spans="4:6">
      <c r="D56" s="70"/>
      <c r="E56" s="71"/>
      <c r="F56" s="72"/>
    </row>
    <row r="57" spans="4:6">
      <c r="D57" s="70"/>
      <c r="E57" s="71"/>
      <c r="F57" s="72"/>
    </row>
    <row r="58" spans="4:6">
      <c r="D58" s="70"/>
      <c r="E58" s="71"/>
      <c r="F58" s="72"/>
    </row>
    <row r="59" spans="4:6">
      <c r="D59" s="70"/>
      <c r="E59" s="71"/>
      <c r="F59" s="72"/>
    </row>
    <row r="60" spans="4:6">
      <c r="D60" s="70"/>
      <c r="E60" s="71"/>
      <c r="F60" s="72"/>
    </row>
    <row r="61" spans="4:6">
      <c r="D61" s="70"/>
      <c r="E61" s="71"/>
      <c r="F61" s="72"/>
    </row>
    <row r="62" spans="4:6">
      <c r="D62" s="70"/>
      <c r="E62" s="71"/>
      <c r="F62" s="72"/>
    </row>
    <row r="63" spans="4:6">
      <c r="D63" s="70"/>
      <c r="E63" s="71"/>
      <c r="F63" s="72"/>
    </row>
    <row r="64" spans="4:6">
      <c r="D64" s="70"/>
      <c r="E64" s="71"/>
      <c r="F64" s="72"/>
    </row>
    <row r="65" spans="4:6">
      <c r="D65" s="70"/>
      <c r="E65" s="71"/>
      <c r="F65" s="72"/>
    </row>
    <row r="66" spans="4:6">
      <c r="D66" s="70"/>
      <c r="E66" s="71"/>
      <c r="F66" s="72"/>
    </row>
    <row r="67" spans="4:6">
      <c r="D67" s="70"/>
      <c r="E67" s="71"/>
      <c r="F67" s="72"/>
    </row>
    <row r="68" spans="4:6">
      <c r="D68" s="73"/>
      <c r="E68" s="74"/>
      <c r="F68" s="75"/>
    </row>
  </sheetData>
  <pageMargins left="0.7" right="0.7" top="0.75" bottom="0.75" header="0.3" footer="0.3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1F80-7F29-4B1D-B377-E2C4B3D2F818}">
  <dimension ref="A1:Z52"/>
  <sheetViews>
    <sheetView showGridLines="0" showRowColHeaders="0" zoomScale="55" zoomScaleNormal="55" workbookViewId="0">
      <selection activeCell="AH52" sqref="AH52"/>
    </sheetView>
  </sheetViews>
  <sheetFormatPr defaultRowHeight="14.25"/>
  <cols>
    <col min="19" max="19" width="9.375" customWidth="1"/>
    <col min="20" max="20" width="9.875" customWidth="1"/>
    <col min="22" max="22" width="11.25" customWidth="1"/>
    <col min="23" max="23" width="5.625" customWidth="1"/>
    <col min="25" max="25" width="7.25" customWidth="1"/>
    <col min="26" max="26" width="9" customWidth="1"/>
    <col min="28" max="28" width="8.5" customWidth="1"/>
    <col min="29" max="29" width="9.125" customWidth="1"/>
  </cols>
  <sheetData>
    <row r="1" spans="1:26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59"/>
      <c r="R1" s="59"/>
      <c r="S1" s="59"/>
      <c r="T1" s="59"/>
      <c r="U1" s="59"/>
      <c r="V1" s="59"/>
      <c r="W1" s="59"/>
      <c r="X1" s="59"/>
    </row>
    <row r="2" spans="1:2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59"/>
      <c r="R2" s="59"/>
      <c r="S2" s="59"/>
      <c r="T2" s="59"/>
      <c r="U2" s="59"/>
      <c r="V2" s="59"/>
      <c r="W2" s="59"/>
      <c r="X2" s="59"/>
    </row>
    <row r="3" spans="1:26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59"/>
      <c r="R3" s="59"/>
      <c r="S3" s="59"/>
      <c r="T3" s="59"/>
      <c r="U3" s="59"/>
      <c r="V3" s="59"/>
      <c r="W3" s="59"/>
      <c r="X3" s="59"/>
    </row>
    <row r="4" spans="1:26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59"/>
      <c r="R4" s="59"/>
      <c r="S4" s="59"/>
      <c r="T4" s="59"/>
      <c r="U4" s="59"/>
      <c r="V4" s="59"/>
      <c r="W4" s="59"/>
      <c r="X4" s="59"/>
    </row>
    <row r="5" spans="1:26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59"/>
      <c r="R5" s="59"/>
      <c r="S5" s="59"/>
      <c r="T5" s="59"/>
      <c r="U5" s="59"/>
      <c r="V5" s="59"/>
      <c r="W5" s="59"/>
      <c r="X5" s="59"/>
    </row>
    <row r="6" spans="1:26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59"/>
      <c r="R6" s="59"/>
      <c r="U6" s="59"/>
      <c r="V6" s="59"/>
      <c r="W6" s="59"/>
      <c r="X6" s="59"/>
    </row>
    <row r="7" spans="1:26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59"/>
      <c r="R7" s="59"/>
      <c r="S7" s="59"/>
      <c r="T7" s="59"/>
      <c r="U7" s="59"/>
      <c r="V7" s="59"/>
      <c r="W7" s="59"/>
      <c r="X7" s="59"/>
    </row>
    <row r="8" spans="1:26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59"/>
      <c r="R8" s="60"/>
      <c r="S8" s="59"/>
      <c r="T8" s="59"/>
      <c r="U8" s="59"/>
      <c r="V8" s="59"/>
      <c r="W8" s="59"/>
      <c r="X8" s="59"/>
    </row>
    <row r="9" spans="1:26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59"/>
      <c r="R9" s="59"/>
      <c r="S9" s="59"/>
      <c r="T9" s="59"/>
      <c r="U9" s="59"/>
      <c r="V9" s="59"/>
      <c r="W9" s="59"/>
      <c r="X9" s="59"/>
    </row>
    <row r="10" spans="1:26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59"/>
      <c r="R11" s="59"/>
      <c r="S11" s="59"/>
      <c r="T11" s="59"/>
      <c r="U11" s="59"/>
      <c r="V11" s="59"/>
      <c r="W11" s="59"/>
      <c r="X11" s="59"/>
    </row>
    <row r="12" spans="1:26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59"/>
      <c r="R12" s="59"/>
      <c r="S12" s="59"/>
      <c r="T12" s="59"/>
      <c r="U12" s="59"/>
      <c r="V12" s="59"/>
      <c r="W12" s="59"/>
      <c r="X12" s="59"/>
    </row>
    <row r="13" spans="1:26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59"/>
      <c r="R13" s="59"/>
      <c r="S13" s="59"/>
      <c r="T13" s="59"/>
      <c r="U13" s="59"/>
      <c r="V13" s="59"/>
      <c r="W13" s="59"/>
      <c r="X13" s="59"/>
    </row>
    <row r="14" spans="1:26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59"/>
      <c r="R14" s="59"/>
      <c r="S14" s="61"/>
      <c r="T14" s="59"/>
      <c r="U14" s="59"/>
      <c r="V14" s="59"/>
      <c r="W14" s="59"/>
      <c r="X14" s="59"/>
    </row>
    <row r="15" spans="1:26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59"/>
      <c r="R15" s="59"/>
      <c r="S15" s="59"/>
      <c r="T15" s="59"/>
      <c r="U15" s="59"/>
      <c r="V15" s="59"/>
      <c r="W15" s="59"/>
      <c r="X15" s="59"/>
    </row>
    <row r="16" spans="1:2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59"/>
      <c r="R16" s="59"/>
      <c r="S16" s="59"/>
      <c r="T16" s="59"/>
      <c r="U16" s="59"/>
      <c r="V16" s="59"/>
      <c r="W16" s="59"/>
      <c r="X16" s="59"/>
    </row>
    <row r="17" spans="1:24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59"/>
      <c r="R17" s="59"/>
      <c r="S17" s="59"/>
      <c r="T17" s="59"/>
      <c r="U17" s="59"/>
      <c r="V17" s="59"/>
      <c r="W17" s="59"/>
      <c r="X17" s="59"/>
    </row>
    <row r="18" spans="1:24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59"/>
      <c r="R18" s="59"/>
      <c r="S18" s="59"/>
      <c r="T18" s="59"/>
      <c r="U18" s="59"/>
      <c r="V18" s="59"/>
      <c r="W18" s="59"/>
      <c r="X18" s="59"/>
    </row>
    <row r="19" spans="1:24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59"/>
      <c r="R19" s="59"/>
      <c r="S19" s="61"/>
      <c r="T19" s="59"/>
      <c r="U19" s="59"/>
      <c r="V19" s="59"/>
      <c r="W19" s="59"/>
      <c r="X19" s="59"/>
    </row>
    <row r="20" spans="1:24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59"/>
      <c r="R20" s="59"/>
      <c r="S20" s="59"/>
      <c r="T20" s="59"/>
      <c r="U20" s="59"/>
      <c r="V20" s="59"/>
      <c r="W20" s="59"/>
      <c r="X20" s="59"/>
    </row>
    <row r="21" spans="1:24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59"/>
      <c r="R21" s="59"/>
      <c r="S21" s="59"/>
      <c r="T21" s="59"/>
      <c r="U21" s="59"/>
      <c r="V21" s="59"/>
      <c r="W21" s="59"/>
      <c r="X21" s="59"/>
    </row>
    <row r="22" spans="1:24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59"/>
      <c r="R22" s="59"/>
      <c r="S22" s="59"/>
      <c r="T22" s="59"/>
      <c r="U22" s="59"/>
      <c r="V22" s="59"/>
      <c r="W22" s="59"/>
      <c r="X22" s="59"/>
    </row>
    <row r="23" spans="1:24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59"/>
      <c r="R23" s="59"/>
      <c r="S23" s="59"/>
      <c r="T23" s="59"/>
      <c r="U23" s="59"/>
      <c r="V23" s="59"/>
      <c r="W23" s="59"/>
      <c r="X23" s="59"/>
    </row>
    <row r="24" spans="1: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59"/>
      <c r="R24" s="59"/>
      <c r="S24" s="59"/>
      <c r="T24" s="59"/>
      <c r="U24" s="59"/>
      <c r="V24" s="59"/>
      <c r="W24" s="59"/>
      <c r="X24" s="59"/>
    </row>
    <row r="25" spans="1:24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59"/>
      <c r="R25" s="59"/>
      <c r="S25" s="59"/>
      <c r="T25" s="59"/>
      <c r="U25" s="59"/>
      <c r="V25" s="59"/>
      <c r="W25" s="59"/>
      <c r="X25" s="59"/>
    </row>
    <row r="26" spans="1:24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59"/>
      <c r="R26" s="59"/>
      <c r="S26" s="59"/>
      <c r="T26" s="59"/>
      <c r="U26" s="59"/>
      <c r="V26" s="59"/>
      <c r="W26" s="59"/>
      <c r="X26" s="59"/>
    </row>
    <row r="27" spans="1:24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59"/>
      <c r="R27" s="59"/>
      <c r="S27" s="59"/>
      <c r="T27" s="59"/>
      <c r="U27" s="59"/>
      <c r="V27" s="59"/>
      <c r="W27" s="59"/>
      <c r="X27" s="59"/>
    </row>
    <row r="28" spans="1:24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59"/>
      <c r="R28" s="59"/>
      <c r="S28" s="59"/>
      <c r="T28" s="59"/>
      <c r="U28" s="59"/>
      <c r="V28" s="59"/>
      <c r="W28" s="59"/>
      <c r="X28" s="59"/>
    </row>
    <row r="29" spans="1:2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59"/>
      <c r="R29" s="59"/>
      <c r="S29" s="59"/>
      <c r="T29" s="59"/>
      <c r="U29" s="59"/>
      <c r="V29" s="59"/>
      <c r="W29" s="59"/>
      <c r="X29" s="59"/>
    </row>
    <row r="30" spans="1:24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59"/>
      <c r="R30" s="59"/>
      <c r="S30" s="59"/>
      <c r="T30" s="59"/>
      <c r="U30" s="59"/>
      <c r="V30" s="59"/>
      <c r="W30" s="59"/>
      <c r="X30" s="59"/>
    </row>
    <row r="31" spans="1:24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59"/>
      <c r="R31" s="59"/>
      <c r="S31" s="59"/>
      <c r="T31" s="59"/>
      <c r="U31" s="59"/>
      <c r="V31" s="59"/>
      <c r="W31" s="59"/>
      <c r="X31" s="59"/>
    </row>
    <row r="32" spans="1:24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59"/>
      <c r="R32" s="59"/>
      <c r="S32" s="59"/>
      <c r="T32" s="59"/>
      <c r="U32" s="59"/>
      <c r="V32" s="59"/>
      <c r="W32" s="59"/>
      <c r="X32" s="59"/>
    </row>
    <row r="33" spans="1:24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59"/>
      <c r="R33" s="59"/>
      <c r="S33" s="59"/>
      <c r="T33" s="59"/>
      <c r="U33" s="59"/>
      <c r="V33" s="59"/>
      <c r="W33" s="59"/>
      <c r="X33" s="59"/>
    </row>
    <row r="34" spans="1:2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59"/>
      <c r="R34" s="59"/>
      <c r="S34" s="59"/>
      <c r="T34" s="59"/>
      <c r="U34" s="59"/>
      <c r="V34" s="59"/>
      <c r="W34" s="59"/>
      <c r="X34" s="59"/>
    </row>
    <row r="35" spans="1:24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59"/>
      <c r="R35" s="59"/>
      <c r="S35" s="59"/>
      <c r="T35" s="59"/>
      <c r="U35" s="59"/>
      <c r="V35" s="59"/>
      <c r="W35" s="59"/>
      <c r="X35" s="59"/>
    </row>
    <row r="36" spans="1:24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59"/>
      <c r="R36" s="59"/>
      <c r="S36" s="59"/>
      <c r="T36" s="59"/>
      <c r="U36" s="59"/>
      <c r="V36" s="59"/>
      <c r="W36" s="59"/>
      <c r="X36" s="59"/>
    </row>
    <row r="37" spans="1:24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59"/>
      <c r="R37" s="59"/>
      <c r="S37" s="59"/>
      <c r="T37" s="59"/>
      <c r="U37" s="59"/>
      <c r="V37" s="59"/>
      <c r="W37" s="59"/>
      <c r="X37" s="59"/>
    </row>
    <row r="38" spans="1:24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59"/>
      <c r="R38" s="59"/>
      <c r="S38" s="59"/>
      <c r="T38" s="59"/>
      <c r="U38" s="59"/>
      <c r="V38" s="59"/>
      <c r="W38" s="59"/>
      <c r="X38" s="59"/>
    </row>
    <row r="39" spans="1:24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59"/>
      <c r="R39" s="59"/>
      <c r="S39" s="59"/>
      <c r="T39" s="59"/>
      <c r="U39" s="59"/>
      <c r="V39" s="59"/>
      <c r="W39" s="59"/>
      <c r="X39" s="59"/>
    </row>
    <row r="40" spans="1:24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59"/>
      <c r="R40" s="59"/>
      <c r="S40" s="59"/>
      <c r="T40" s="59"/>
      <c r="U40" s="59"/>
      <c r="V40" s="59"/>
      <c r="W40" s="59"/>
      <c r="X40" s="59"/>
    </row>
    <row r="41" spans="1:24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59"/>
      <c r="R41" s="59"/>
      <c r="S41" s="59"/>
      <c r="T41" s="59"/>
      <c r="U41" s="59"/>
      <c r="V41" s="59"/>
      <c r="W41" s="59"/>
      <c r="X41" s="59"/>
    </row>
    <row r="42" spans="1:24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59"/>
      <c r="R42" s="59"/>
      <c r="S42" s="59"/>
      <c r="T42" s="59"/>
      <c r="U42" s="59"/>
      <c r="V42" s="59"/>
      <c r="W42" s="59"/>
      <c r="X42" s="59"/>
    </row>
    <row r="43" spans="1:24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spans="1:2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7" spans="1:24">
      <c r="J47" s="59"/>
    </row>
    <row r="52" spans="15:15">
      <c r="O52" s="5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CA93-132B-4A80-820F-E8E420A5E6EA}">
  <dimension ref="A1"/>
  <sheetViews>
    <sheetView tabSelected="1" topLeftCell="A27" zoomScale="55" zoomScaleNormal="55" workbookViewId="0">
      <selection activeCell="Y43" sqref="Y43"/>
    </sheetView>
  </sheetViews>
  <sheetFormatPr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BB11D97-2453-4A97-80D4-3EA6B5C8813D}">
  <ds:schemaRefs/>
</ds:datastoreItem>
</file>

<file path=customXml/itemProps2.xml><?xml version="1.0" encoding="utf-8"?>
<ds:datastoreItem xmlns:ds="http://schemas.openxmlformats.org/officeDocument/2006/customXml" ds:itemID="{819469DE-0412-4A3B-A2BD-96411797CC76}">
  <ds:schemaRefs/>
</ds:datastoreItem>
</file>

<file path=customXml/itemProps3.xml><?xml version="1.0" encoding="utf-8"?>
<ds:datastoreItem xmlns:ds="http://schemas.openxmlformats.org/officeDocument/2006/customXml" ds:itemID="{CE5A8E08-2B3E-4BB2-A2E9-B06362F6D661}">
  <ds:schemaRefs/>
</ds:datastoreItem>
</file>

<file path=customXml/itemProps4.xml><?xml version="1.0" encoding="utf-8"?>
<ds:datastoreItem xmlns:ds="http://schemas.openxmlformats.org/officeDocument/2006/customXml" ds:itemID="{21F32CCA-8869-48B1-B85C-038E436890EC}">
  <ds:schemaRefs/>
</ds:datastoreItem>
</file>

<file path=customXml/itemProps5.xml><?xml version="1.0" encoding="utf-8"?>
<ds:datastoreItem xmlns:ds="http://schemas.openxmlformats.org/officeDocument/2006/customXml" ds:itemID="{44FCB90D-622D-4012-ACA0-9CFC1E1011BE}">
  <ds:schemaRefs/>
</ds:datastoreItem>
</file>

<file path=customXml/itemProps6.xml><?xml version="1.0" encoding="utf-8"?>
<ds:datastoreItem xmlns:ds="http://schemas.openxmlformats.org/officeDocument/2006/customXml" ds:itemID="{F41186E7-7D9B-4D6A-B9C2-09536FE4D1EE}">
  <ds:schemaRefs/>
</ds:datastoreItem>
</file>

<file path=customXml/itemProps7.xml><?xml version="1.0" encoding="utf-8"?>
<ds:datastoreItem xmlns:ds="http://schemas.openxmlformats.org/officeDocument/2006/customXml" ds:itemID="{1A16BD82-7F1C-4756-BB21-3BCC885A2210}">
  <ds:schemaRefs/>
</ds:datastoreItem>
</file>

<file path=customXml/itemProps8.xml><?xml version="1.0" encoding="utf-8"?>
<ds:datastoreItem xmlns:ds="http://schemas.openxmlformats.org/officeDocument/2006/customXml" ds:itemID="{9842BF2B-DE58-44A1-AC23-650D0F20E5AE}">
  <ds:schemaRefs/>
</ds:datastoreItem>
</file>

<file path=customXml/itemProps9.xml><?xml version="1.0" encoding="utf-8"?>
<ds:datastoreItem xmlns:ds="http://schemas.openxmlformats.org/officeDocument/2006/customXml" ds:itemID="{2E18A16E-817D-42B1-A23A-1A3F40EF164A}">
  <ds:schemaRefs/>
</ds:datastoreItem>
</file>

<file path=customXml/itemProps10.xml><?xml version="1.0" encoding="utf-8"?>
<ds:datastoreItem xmlns:ds="http://schemas.openxmlformats.org/officeDocument/2006/customXml" ds:itemID="{CBCA0A17-34CC-456A-B98E-C6EC4B9702B1}">
  <ds:schemaRefs/>
</ds:datastoreItem>
</file>

<file path=customXml/itemProps11.xml><?xml version="1.0" encoding="utf-8"?>
<ds:datastoreItem xmlns:ds="http://schemas.openxmlformats.org/officeDocument/2006/customXml" ds:itemID="{54B453CF-56BD-4951-9BA4-85810626ED1E}">
  <ds:schemaRefs/>
</ds:datastoreItem>
</file>

<file path=customXml/itemProps12.xml><?xml version="1.0" encoding="utf-8"?>
<ds:datastoreItem xmlns:ds="http://schemas.openxmlformats.org/officeDocument/2006/customXml" ds:itemID="{7514C27F-E585-4553-A468-68D5847F1C02}">
  <ds:schemaRefs/>
</ds:datastoreItem>
</file>

<file path=customXml/itemProps13.xml><?xml version="1.0" encoding="utf-8"?>
<ds:datastoreItem xmlns:ds="http://schemas.openxmlformats.org/officeDocument/2006/customXml" ds:itemID="{8F6EF59C-132A-4C08-9737-3B882DF03B7D}">
  <ds:schemaRefs/>
</ds:datastoreItem>
</file>

<file path=customXml/itemProps14.xml><?xml version="1.0" encoding="utf-8"?>
<ds:datastoreItem xmlns:ds="http://schemas.openxmlformats.org/officeDocument/2006/customXml" ds:itemID="{0090336C-AC7F-4CAA-9D5A-794BE7866A62}">
  <ds:schemaRefs/>
</ds:datastoreItem>
</file>

<file path=customXml/itemProps15.xml><?xml version="1.0" encoding="utf-8"?>
<ds:datastoreItem xmlns:ds="http://schemas.openxmlformats.org/officeDocument/2006/customXml" ds:itemID="{A84FE887-542E-477C-9F47-59C747DD33F8}">
  <ds:schemaRefs/>
</ds:datastoreItem>
</file>

<file path=customXml/itemProps16.xml><?xml version="1.0" encoding="utf-8"?>
<ds:datastoreItem xmlns:ds="http://schemas.openxmlformats.org/officeDocument/2006/customXml" ds:itemID="{8DB9520F-46D5-4575-A7EE-527B3ECFDA74}">
  <ds:schemaRefs/>
</ds:datastoreItem>
</file>

<file path=customXml/itemProps17.xml><?xml version="1.0" encoding="utf-8"?>
<ds:datastoreItem xmlns:ds="http://schemas.openxmlformats.org/officeDocument/2006/customXml" ds:itemID="{A11F3407-EF31-4E0E-A537-8839EDEEF7DE}">
  <ds:schemaRefs/>
</ds:datastoreItem>
</file>

<file path=customXml/itemProps18.xml><?xml version="1.0" encoding="utf-8"?>
<ds:datastoreItem xmlns:ds="http://schemas.openxmlformats.org/officeDocument/2006/customXml" ds:itemID="{57F722E6-6400-4736-A76E-2EF73DE2DA73}">
  <ds:schemaRefs/>
</ds:datastoreItem>
</file>

<file path=customXml/itemProps19.xml><?xml version="1.0" encoding="utf-8"?>
<ds:datastoreItem xmlns:ds="http://schemas.openxmlformats.org/officeDocument/2006/customXml" ds:itemID="{27A8F44C-6A55-4C5D-A3EF-F13F2497E1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6</vt:i4>
      </vt:variant>
    </vt:vector>
  </HeadingPairs>
  <TitlesOfParts>
    <vt:vector size="11" baseType="lpstr">
      <vt:lpstr>Base</vt:lpstr>
      <vt:lpstr>Analysisdata</vt:lpstr>
      <vt:lpstr>PivotTableAnalyst</vt:lpstr>
      <vt:lpstr>Dasboard</vt:lpstr>
      <vt:lpstr>images</vt:lpstr>
      <vt:lpstr>CATEGORYES</vt:lpstr>
      <vt:lpstr>CITIYES</vt:lpstr>
      <vt:lpstr>CUSTOMERS</vt:lpstr>
      <vt:lpstr>ORDERDETAILS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Erol</dc:creator>
  <cp:lastModifiedBy>Emre Erol</cp:lastModifiedBy>
  <dcterms:created xsi:type="dcterms:W3CDTF">2026-04-07T17:12:53Z</dcterms:created>
  <dcterms:modified xsi:type="dcterms:W3CDTF">2026-04-10T22:04:31Z</dcterms:modified>
</cp:coreProperties>
</file>